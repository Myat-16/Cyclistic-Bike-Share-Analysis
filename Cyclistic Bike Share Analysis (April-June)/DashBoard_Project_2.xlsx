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Simbolo\Stastic_project\Data\DB_Project\Cyclistic Bike Share DashBoard Analysis\April-June\"/>
    </mc:Choice>
  </mc:AlternateContent>
  <xr:revisionPtr revIDLastSave="0" documentId="13_ncr:1_{A6254F70-B15E-4972-A230-F4F276F191A4}" xr6:coauthVersionLast="47" xr6:coauthVersionMax="47" xr10:uidLastSave="{00000000-0000-0000-0000-000000000000}"/>
  <bookViews>
    <workbookView xWindow="22932" yWindow="-108" windowWidth="23256" windowHeight="12456" activeTab="6" xr2:uid="{E5153FCE-146D-4352-913E-E10E7726DA4B}"/>
  </bookViews>
  <sheets>
    <sheet name="Daily_PV" sheetId="3" r:id="rId1"/>
    <sheet name="daily_data (1)" sheetId="2" r:id="rId2"/>
    <sheet name="weekly_data (1)" sheetId="9" r:id="rId3"/>
    <sheet name="Wkly_PV" sheetId="11" r:id="rId4"/>
    <sheet name="monthly_data (1)" sheetId="8" r:id="rId5"/>
    <sheet name="Mthly_PV" sheetId="10" r:id="rId6"/>
    <sheet name="DB" sheetId="13" r:id="rId7"/>
  </sheets>
  <definedNames>
    <definedName name="ExternalData_1" localSheetId="1" hidden="1">'daily_data (1)'!$A$1:$D$92</definedName>
    <definedName name="ExternalData_2" localSheetId="4" hidden="1">'monthly_data (1)'!$A$1:$F$92</definedName>
    <definedName name="ExternalData_3" localSheetId="2" hidden="1">'weekly_data (1)'!$A$1:$D$92</definedName>
    <definedName name="Slicer_Months__started">#N/A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8" l="1"/>
  <c r="J4" i="8"/>
  <c r="J2" i="8"/>
  <c r="I4" i="8"/>
  <c r="I3" i="8"/>
  <c r="I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906309-6C69-45DA-AE19-7280F701A7F5}" keepAlive="1" name="Query - daily_data (1)" description="Connection to the 'daily_data (1)' query in the workbook." type="5" refreshedVersion="8" background="1" saveData="1">
    <dbPr connection="Provider=Microsoft.Mashup.OleDb.1;Data Source=$Workbook$;Location=&quot;daily_data (1)&quot;;Extended Properties=&quot;&quot;" command="SELECT * FROM [daily_data (1)]"/>
  </connection>
  <connection id="2" xr16:uid="{EF90BE49-0759-4D84-B50E-A333CCA337BC}" keepAlive="1" name="Query - monthly_data" description="Connection to the 'monthly_data' query in the workbook." type="5" refreshedVersion="0" background="1">
    <dbPr connection="Provider=Microsoft.Mashup.OleDb.1;Data Source=$Workbook$;Location=monthly_data;Extended Properties=&quot;&quot;" command="SELECT * FROM [monthly_data]"/>
  </connection>
  <connection id="3" xr16:uid="{0267EE98-2367-45EE-A2CE-9979179B1186}" keepAlive="1" name="Query - monthly_data (1)" description="Connection to the 'monthly_data (1)' query in the workbook." type="5" refreshedVersion="8" background="1" saveData="1">
    <dbPr connection="Provider=Microsoft.Mashup.OleDb.1;Data Source=$Workbook$;Location=&quot;monthly_data (1)&quot;;Extended Properties=&quot;&quot;" command="SELECT * FROM [monthly_data (1)]"/>
  </connection>
  <connection id="4" xr16:uid="{278BA3E5-BE8E-4DE8-AA4B-DC67650460BC}" keepAlive="1" name="Query - weekly_data" description="Connection to the 'weekly_data' query in the workbook." type="5" refreshedVersion="0" background="1">
    <dbPr connection="Provider=Microsoft.Mashup.OleDb.1;Data Source=$Workbook$;Location=weekly_data;Extended Properties=&quot;&quot;" command="SELECT * FROM [weekly_data]"/>
  </connection>
  <connection id="5" xr16:uid="{697C5353-A5BF-451A-98E1-A2CE7C4578A6}" keepAlive="1" name="Query - weekly_data (1)" description="Connection to the 'weekly_data (1)' query in the workbook." type="5" refreshedVersion="8" background="1" saveData="1">
    <dbPr connection="Provider=Microsoft.Mashup.OleDb.1;Data Source=$Workbook$;Location=&quot;weekly_data (1)&quot;;Extended Properties=&quot;&quot;" command="SELECT * FROM [weekly_data (1)]"/>
  </connection>
</connections>
</file>

<file path=xl/sharedStrings.xml><?xml version="1.0" encoding="utf-8"?>
<sst xmlns="http://schemas.openxmlformats.org/spreadsheetml/2006/main" count="239" uniqueCount="128">
  <si>
    <t>started</t>
  </si>
  <si>
    <t>ride_id</t>
  </si>
  <si>
    <t>casual</t>
  </si>
  <si>
    <t>member</t>
  </si>
  <si>
    <t>Row Labels</t>
  </si>
  <si>
    <t>Apr</t>
  </si>
  <si>
    <t>May</t>
  </si>
  <si>
    <t>Jun</t>
  </si>
  <si>
    <t>01-Jun</t>
  </si>
  <si>
    <t>02-Jun</t>
  </si>
  <si>
    <t>03-Jun</t>
  </si>
  <si>
    <t>04-Jun</t>
  </si>
  <si>
    <t>05-Jun</t>
  </si>
  <si>
    <t>06-Jun</t>
  </si>
  <si>
    <t>07-Jun</t>
  </si>
  <si>
    <t>08-Jun</t>
  </si>
  <si>
    <t>09-Jun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</si>
  <si>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</si>
  <si>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</si>
  <si>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</si>
  <si>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</si>
  <si>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</si>
  <si>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</si>
  <si>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</si>
  <si>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</si>
  <si>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</si>
  <si>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</si>
  <si>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</si>
  <si>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</si>
  <si>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</si>
  <si>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</si>
  <si>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</si>
  <si>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</si>
  <si>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</si>
  <si>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</si>
  <si>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</si>
  <si>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</si>
  <si>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</si>
  <si>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Total Ride</t>
  </si>
  <si>
    <t>MemberCount</t>
  </si>
  <si>
    <t>CasualCount</t>
  </si>
  <si>
    <t>Month</t>
  </si>
  <si>
    <t>RideCount</t>
  </si>
  <si>
    <t>month</t>
  </si>
  <si>
    <t>classic_bike</t>
  </si>
  <si>
    <t>docked_bike</t>
  </si>
  <si>
    <t>electric_bike</t>
  </si>
  <si>
    <t>weekdays</t>
  </si>
  <si>
    <t>Friday</t>
  </si>
  <si>
    <t>Monday</t>
  </si>
  <si>
    <t>Saturday</t>
  </si>
  <si>
    <t>Sunday</t>
  </si>
  <si>
    <t>Thursday</t>
  </si>
  <si>
    <t>Tuesday</t>
  </si>
  <si>
    <t>Wednesday</t>
  </si>
  <si>
    <t>Grand Total</t>
  </si>
  <si>
    <t>Sum of ride_id</t>
  </si>
  <si>
    <t>Classic Bike</t>
  </si>
  <si>
    <t>Docked Bike</t>
  </si>
  <si>
    <t>Electric Bike</t>
  </si>
  <si>
    <t>Column Labels</t>
  </si>
  <si>
    <t>Types</t>
  </si>
  <si>
    <t>Classic_bike</t>
  </si>
  <si>
    <t>Electric_bike</t>
  </si>
  <si>
    <t>Docked_bike</t>
  </si>
  <si>
    <t>Count</t>
  </si>
  <si>
    <t>percentage</t>
  </si>
  <si>
    <t>01-Apr</t>
  </si>
  <si>
    <t>02-Apr</t>
  </si>
  <si>
    <t>03-Apr</t>
  </si>
  <si>
    <t>04-Apr</t>
  </si>
  <si>
    <t>05-Apr</t>
  </si>
  <si>
    <t>06-Apr</t>
  </si>
  <si>
    <t>07-Apr</t>
  </si>
  <si>
    <t>08-Apr</t>
  </si>
  <si>
    <t>09-Apr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</si>
  <si>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</si>
  <si>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</si>
  <si>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</si>
  <si>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</si>
  <si>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</si>
  <si>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</si>
  <si>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</si>
  <si>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</si>
  <si>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</si>
  <si>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</si>
  <si>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</si>
  <si>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</si>
  <si>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</si>
  <si>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</si>
  <si>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</si>
  <si>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</si>
  <si>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</si>
  <si>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</si>
  <si>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</si>
  <si>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</si>
  <si>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</si>
  <si>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01-May</t>
  </si>
  <si>
    <t>02-May</t>
  </si>
  <si>
    <t>03-May</t>
  </si>
  <si>
    <t>04-May</t>
  </si>
  <si>
    <t>05-May</t>
  </si>
  <si>
    <t>06-May</t>
  </si>
  <si>
    <t>07-May</t>
  </si>
  <si>
    <t>08-May</t>
  </si>
  <si>
    <t>09-May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</si>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</sst>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0,,,&quot;M&quot;;[&gt;=1000]#,##0,&quot;K&quot;;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0" borderId="0" xfId="0" applyAlignment="1">
      <alignment horizontal="left" indent="2"/>
    </xf>
    <xf numFmtId="9" fontId="0" fillId="0" borderId="0" xfId="1" applyFont="1"/>
    <xf numFmtId="0" fontId="0" fillId="2" borderId="0" xfId="0" applyFill="1" applyAlignment="1">
      <alignment horizontal="center"/>
    </xf>
    <xf numFmtId="0" fontId="0" fillId="2" borderId="0" xfId="0" applyFill="1"/>
  </cellXfs>
  <cellStyles count="2">
    <cellStyle name="Normal" xfId="0" builtinId="0"/>
    <cellStyle name="Percent" xfId="1" builtinId="5"/>
  </cellStyles>
  <dxfs count="7">
    <dxf>
      <numFmt numFmtId="164" formatCode="[&gt;=1000000]#,##0,,,&quot;M&quot;;[&gt;=1000]#,##0,&quot;K&quot;;0"/>
    </dxf>
    <dxf>
      <numFmt numFmtId="19" formatCode="dd/mm/yyyy"/>
    </dxf>
    <dxf>
      <numFmt numFmtId="164" formatCode="[&gt;=1000000]#,##0,,,&quot;M&quot;;[&gt;=1000]#,##0,&quot;K&quot;;0"/>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[DashBoard_Project_2.xlsx]Daily_PV!PivotTable2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Ride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dLbl>
          <c:idx val="0"/>
          <c:layout>
            <c:manualLayout>
              <c:x val="2.4500044852002804E-2"/>
              <c:y val="0.19236232317038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914672199378238"/>
                  <c:h val="0.20776595856198668"/>
                </c:manualLayout>
              </c15:layout>
            </c:ext>
          </c:extLst>
        </c:dLbl>
      </c:pivotFmt>
    </c:pivotFmts>
    <c:plotArea>
      <c:layout/>
      <c:barChart>
        <c:barDir val="col"/>
        <c:grouping val="clustered"/>
        <c:varyColors val="0"/>
        <c:ser>
          <c:idx val="0"/>
          <c:order val="0"/>
          <c:tx>
            <c:strRef>
              <c:f>Daily_PV!$F$4</c:f>
              <c:strCache>
                <c:ptCount val="1"/>
                <c:pt idx="0">
                  <c:v>Total</c:v>
                </c:pt>
              </c:strCache>
            </c:strRef>
          </c:tx>
          <c:spPr>
            <a:solidFill>
              <a:schemeClr val="bg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2-78C6-4821-9030-71854DC4B902}"/>
              </c:ext>
            </c:extLst>
          </c:dPt>
          <c:dLbls>
            <c:dLbl>
              <c:idx val="0"/>
              <c:layout>
                <c:manualLayout>
                  <c:x val="2.4500044852002804E-2"/>
                  <c:y val="0.1923623231703801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0914672199378238"/>
                      <c:h val="0.20776595856198668"/>
                    </c:manualLayout>
                  </c15:layout>
                </c:ext>
                <c:ext xmlns:c16="http://schemas.microsoft.com/office/drawing/2014/chart" uri="{C3380CC4-5D6E-409C-BE32-E72D297353CC}">
                  <c16:uniqueId val="{00000002-78C6-4821-9030-71854DC4B9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Daily_PV!$F$5</c:f>
              <c:strCache>
                <c:ptCount val="1"/>
                <c:pt idx="0">
                  <c:v>Total</c:v>
                </c:pt>
              </c:strCache>
            </c:strRef>
          </c:cat>
          <c:val>
            <c:numRef>
              <c:f>Daily_PV!$F$5</c:f>
              <c:numCache>
                <c:formatCode>General</c:formatCode>
                <c:ptCount val="1"/>
                <c:pt idx="0">
                  <c:v>1357979</c:v>
                </c:pt>
              </c:numCache>
            </c:numRef>
          </c:val>
          <c:extLst>
            <c:ext xmlns:c16="http://schemas.microsoft.com/office/drawing/2014/chart" uri="{C3380CC4-5D6E-409C-BE32-E72D297353CC}">
              <c16:uniqueId val="{00000000-78C6-4821-9030-71854DC4B902}"/>
            </c:ext>
          </c:extLst>
        </c:ser>
        <c:dLbls>
          <c:showLegendKey val="0"/>
          <c:showVal val="0"/>
          <c:showCatName val="0"/>
          <c:showSerName val="0"/>
          <c:showPercent val="0"/>
          <c:showBubbleSize val="0"/>
        </c:dLbls>
        <c:gapWidth val="219"/>
        <c:overlap val="-27"/>
        <c:axId val="501389232"/>
        <c:axId val="501386832"/>
      </c:barChart>
      <c:catAx>
        <c:axId val="501389232"/>
        <c:scaling>
          <c:orientation val="minMax"/>
        </c:scaling>
        <c:delete val="1"/>
        <c:axPos val="b"/>
        <c:numFmt formatCode="General" sourceLinked="1"/>
        <c:majorTickMark val="none"/>
        <c:minorTickMark val="none"/>
        <c:tickLblPos val="nextTo"/>
        <c:crossAx val="501386832"/>
        <c:crosses val="autoZero"/>
        <c:auto val="1"/>
        <c:lblAlgn val="ctr"/>
        <c:lblOffset val="100"/>
        <c:noMultiLvlLbl val="0"/>
      </c:catAx>
      <c:valAx>
        <c:axId val="501386832"/>
        <c:scaling>
          <c:orientation val="minMax"/>
        </c:scaling>
        <c:delete val="1"/>
        <c:axPos val="l"/>
        <c:numFmt formatCode="General" sourceLinked="1"/>
        <c:majorTickMark val="none"/>
        <c:minorTickMark val="none"/>
        <c:tickLblPos val="nextTo"/>
        <c:crossAx val="50138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[DashBoard_Project_2.xlsx]Daily_PV!PivotTable4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Daily_PV!$I$2</c:f>
              <c:strCache>
                <c:ptCount val="1"/>
                <c:pt idx="0">
                  <c:v>RideCount</c:v>
                </c:pt>
              </c:strCache>
            </c:strRef>
          </c:tx>
          <c:spPr>
            <a:solidFill>
              <a:schemeClr val="accent1"/>
            </a:solidFill>
            <a:ln>
              <a:noFill/>
            </a:ln>
            <a:effectLst/>
          </c:spPr>
          <c:invertIfNegative val="0"/>
          <c:cat>
            <c:strRef>
              <c:f>Daily_PV!$H$3:$H$5</c:f>
              <c:strCache>
                <c:ptCount val="3"/>
                <c:pt idx="0">
                  <c:v>Apr</c:v>
                </c:pt>
                <c:pt idx="1">
                  <c:v>May</c:v>
                </c:pt>
                <c:pt idx="2">
                  <c:v>Jun</c:v>
                </c:pt>
              </c:strCache>
            </c:strRef>
          </c:cat>
          <c:val>
            <c:numRef>
              <c:f>Daily_PV!$I$3:$I$5</c:f>
              <c:numCache>
                <c:formatCode>General</c:formatCode>
                <c:ptCount val="3"/>
                <c:pt idx="0">
                  <c:v>298207</c:v>
                </c:pt>
                <c:pt idx="1">
                  <c:v>450994</c:v>
                </c:pt>
                <c:pt idx="2">
                  <c:v>608778</c:v>
                </c:pt>
              </c:numCache>
            </c:numRef>
          </c:val>
          <c:extLst>
            <c:ext xmlns:c16="http://schemas.microsoft.com/office/drawing/2014/chart" uri="{C3380CC4-5D6E-409C-BE32-E72D297353CC}">
              <c16:uniqueId val="{00000000-1DD7-46E7-BE9F-FDD7F635D847}"/>
            </c:ext>
          </c:extLst>
        </c:ser>
        <c:ser>
          <c:idx val="1"/>
          <c:order val="1"/>
          <c:tx>
            <c:strRef>
              <c:f>Daily_PV!$J$2</c:f>
              <c:strCache>
                <c:ptCount val="1"/>
                <c:pt idx="0">
                  <c:v>CasualCount</c:v>
                </c:pt>
              </c:strCache>
            </c:strRef>
          </c:tx>
          <c:spPr>
            <a:solidFill>
              <a:schemeClr val="accent2"/>
            </a:solidFill>
            <a:ln>
              <a:noFill/>
            </a:ln>
            <a:effectLst/>
          </c:spPr>
          <c:invertIfNegative val="0"/>
          <c:cat>
            <c:strRef>
              <c:f>Daily_PV!$H$3:$H$5</c:f>
              <c:strCache>
                <c:ptCount val="3"/>
                <c:pt idx="0">
                  <c:v>Apr</c:v>
                </c:pt>
                <c:pt idx="1">
                  <c:v>May</c:v>
                </c:pt>
                <c:pt idx="2">
                  <c:v>Jun</c:v>
                </c:pt>
              </c:strCache>
            </c:strRef>
          </c:cat>
          <c:val>
            <c:numRef>
              <c:f>Daily_PV!$J$3:$J$5</c:f>
              <c:numCache>
                <c:formatCode>General</c:formatCode>
                <c:ptCount val="3"/>
                <c:pt idx="0">
                  <c:v>120420</c:v>
                </c:pt>
                <c:pt idx="1">
                  <c:v>216829</c:v>
                </c:pt>
                <c:pt idx="2">
                  <c:v>304192</c:v>
                </c:pt>
              </c:numCache>
            </c:numRef>
          </c:val>
          <c:extLst>
            <c:ext xmlns:c16="http://schemas.microsoft.com/office/drawing/2014/chart" uri="{C3380CC4-5D6E-409C-BE32-E72D297353CC}">
              <c16:uniqueId val="{00000001-1DD7-46E7-BE9F-FDD7F635D847}"/>
            </c:ext>
          </c:extLst>
        </c:ser>
        <c:ser>
          <c:idx val="2"/>
          <c:order val="2"/>
          <c:tx>
            <c:strRef>
              <c:f>Daily_PV!$K$2</c:f>
              <c:strCache>
                <c:ptCount val="1"/>
                <c:pt idx="0">
                  <c:v>MemberCount</c:v>
                </c:pt>
              </c:strCache>
            </c:strRef>
          </c:tx>
          <c:spPr>
            <a:solidFill>
              <a:schemeClr val="accent3"/>
            </a:solidFill>
            <a:ln>
              <a:noFill/>
            </a:ln>
            <a:effectLst/>
          </c:spPr>
          <c:invertIfNegative val="0"/>
          <c:cat>
            <c:strRef>
              <c:f>Daily_PV!$H$3:$H$5</c:f>
              <c:strCache>
                <c:ptCount val="3"/>
                <c:pt idx="0">
                  <c:v>Apr</c:v>
                </c:pt>
                <c:pt idx="1">
                  <c:v>May</c:v>
                </c:pt>
                <c:pt idx="2">
                  <c:v>Jun</c:v>
                </c:pt>
              </c:strCache>
            </c:strRef>
          </c:cat>
          <c:val>
            <c:numRef>
              <c:f>Daily_PV!$K$3:$K$5</c:f>
              <c:numCache>
                <c:formatCode>General</c:formatCode>
                <c:ptCount val="3"/>
                <c:pt idx="0">
                  <c:v>177787</c:v>
                </c:pt>
                <c:pt idx="1">
                  <c:v>234165</c:v>
                </c:pt>
                <c:pt idx="2">
                  <c:v>304586</c:v>
                </c:pt>
              </c:numCache>
            </c:numRef>
          </c:val>
          <c:extLst>
            <c:ext xmlns:c16="http://schemas.microsoft.com/office/drawing/2014/chart" uri="{C3380CC4-5D6E-409C-BE32-E72D297353CC}">
              <c16:uniqueId val="{00000002-1DD7-46E7-BE9F-FDD7F635D847}"/>
            </c:ext>
          </c:extLst>
        </c:ser>
        <c:dLbls>
          <c:showLegendKey val="0"/>
          <c:showVal val="0"/>
          <c:showCatName val="0"/>
          <c:showSerName val="0"/>
          <c:showPercent val="0"/>
          <c:showBubbleSize val="0"/>
        </c:dLbls>
        <c:gapWidth val="219"/>
        <c:overlap val="-27"/>
        <c:axId val="501391632"/>
        <c:axId val="501392112"/>
      </c:barChart>
      <c:catAx>
        <c:axId val="50139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392112"/>
        <c:crosses val="autoZero"/>
        <c:auto val="1"/>
        <c:lblAlgn val="ctr"/>
        <c:lblOffset val="100"/>
        <c:noMultiLvlLbl val="0"/>
      </c:catAx>
      <c:valAx>
        <c:axId val="50139211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39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[DashBoard_Project_2.xlsx]Daily_PV!PivotTable1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Daily_PV!$B$3</c:f>
              <c:strCache>
                <c:ptCount val="1"/>
                <c:pt idx="0">
                  <c:v>Total Ride</c:v>
                </c:pt>
              </c:strCache>
            </c:strRef>
          </c:tx>
          <c:spPr>
            <a:ln w="28575" cap="rnd">
              <a:solidFill>
                <a:schemeClr val="accent1"/>
              </a:solidFill>
              <a:round/>
            </a:ln>
            <a:effectLst/>
          </c:spPr>
          <c:marker>
            <c:symbol val="none"/>
          </c:marker>
          <c:cat>
            <c:strRef>
              <c:f>Daily_PV!$A$4:$A$94</c:f>
              <c:strCache>
                <c:ptCount val="91"/>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pt idx="30">
                  <c:v>01-May</c:v>
                </c:pt>
                <c:pt idx="31">
                  <c:v>02-May</c:v>
                </c:pt>
                <c:pt idx="32">
                  <c:v>03-May</c:v>
                </c:pt>
                <c:pt idx="33">
                  <c:v>04-May</c:v>
                </c:pt>
                <c:pt idx="34">
                  <c:v>05-May</c:v>
                </c:pt>
                <c:pt idx="35">
                  <c:v>06-May</c:v>
                </c:pt>
                <c:pt idx="36">
                  <c:v>07-May</c:v>
                </c:pt>
                <c:pt idx="37">
                  <c:v>08-May</c:v>
                </c:pt>
                <c:pt idx="38">
                  <c:v>09-May</c:v>
                </c:pt>
                <c:pt idx="39">
                  <c:v>10-May</c:v>
                </c:pt>
                <c:pt idx="40">
                  <c:v>11-May</c:v>
                </c:pt>
                <c:pt idx="41">
                  <c:v>12-May</c:v>
                </c:pt>
                <c:pt idx="42">
                  <c:v>13-May</c:v>
                </c:pt>
                <c:pt idx="43">
                  <c:v>14-May</c:v>
                </c:pt>
                <c:pt idx="44">
                  <c:v>15-May</c:v>
                </c:pt>
                <c:pt idx="45">
                  <c:v>16-May</c:v>
                </c:pt>
                <c:pt idx="46">
                  <c:v>17-May</c:v>
                </c:pt>
                <c:pt idx="47">
                  <c:v>18-May</c:v>
                </c:pt>
                <c:pt idx="48">
                  <c:v>19-May</c:v>
                </c:pt>
                <c:pt idx="49">
                  <c:v>20-May</c:v>
                </c:pt>
                <c:pt idx="50">
                  <c:v>21-May</c:v>
                </c:pt>
                <c:pt idx="51">
                  <c:v>22-May</c:v>
                </c:pt>
                <c:pt idx="52">
                  <c:v>23-May</c:v>
                </c:pt>
                <c:pt idx="53">
                  <c:v>24-May</c:v>
                </c:pt>
                <c:pt idx="54">
                  <c:v>25-May</c:v>
                </c:pt>
                <c:pt idx="55">
                  <c:v>26-May</c:v>
                </c:pt>
                <c:pt idx="56">
                  <c:v>27-May</c:v>
                </c:pt>
                <c:pt idx="57">
                  <c:v>28-May</c:v>
                </c:pt>
                <c:pt idx="58">
                  <c:v>29-May</c:v>
                </c:pt>
                <c:pt idx="59">
                  <c:v>30-May</c:v>
                </c:pt>
                <c:pt idx="60">
                  <c:v>31-May</c:v>
                </c:pt>
                <c:pt idx="61">
                  <c:v>01-Jun</c:v>
                </c:pt>
                <c:pt idx="62">
                  <c:v>02-Jun</c:v>
                </c:pt>
                <c:pt idx="63">
                  <c:v>03-Jun</c:v>
                </c:pt>
                <c:pt idx="64">
                  <c:v>04-Jun</c:v>
                </c:pt>
                <c:pt idx="65">
                  <c:v>05-Jun</c:v>
                </c:pt>
                <c:pt idx="66">
                  <c:v>06-Jun</c:v>
                </c:pt>
                <c:pt idx="67">
                  <c:v>07-Jun</c:v>
                </c:pt>
                <c:pt idx="68">
                  <c:v>08-Jun</c:v>
                </c:pt>
                <c:pt idx="69">
                  <c:v>09-Jun</c:v>
                </c:pt>
                <c:pt idx="70">
                  <c:v>10-Jun</c:v>
                </c:pt>
                <c:pt idx="71">
                  <c:v>11-Jun</c:v>
                </c:pt>
                <c:pt idx="72">
                  <c:v>12-Jun</c:v>
                </c:pt>
                <c:pt idx="73">
                  <c:v>13-Jun</c:v>
                </c:pt>
                <c:pt idx="74">
                  <c:v>14-Jun</c:v>
                </c:pt>
                <c:pt idx="75">
                  <c:v>15-Jun</c:v>
                </c:pt>
                <c:pt idx="76">
                  <c:v>16-Jun</c:v>
                </c:pt>
                <c:pt idx="77">
                  <c:v>17-Jun</c:v>
                </c:pt>
                <c:pt idx="78">
                  <c:v>18-Jun</c:v>
                </c:pt>
                <c:pt idx="79">
                  <c:v>19-Jun</c:v>
                </c:pt>
                <c:pt idx="80">
                  <c:v>20-Jun</c:v>
                </c:pt>
                <c:pt idx="81">
                  <c:v>21-Jun</c:v>
                </c:pt>
                <c:pt idx="82">
                  <c:v>22-Jun</c:v>
                </c:pt>
                <c:pt idx="83">
                  <c:v>23-Jun</c:v>
                </c:pt>
                <c:pt idx="84">
                  <c:v>24-Jun</c:v>
                </c:pt>
                <c:pt idx="85">
                  <c:v>25-Jun</c:v>
                </c:pt>
                <c:pt idx="86">
                  <c:v>26-Jun</c:v>
                </c:pt>
                <c:pt idx="87">
                  <c:v>27-Jun</c:v>
                </c:pt>
                <c:pt idx="88">
                  <c:v>28-Jun</c:v>
                </c:pt>
                <c:pt idx="89">
                  <c:v>29-Jun</c:v>
                </c:pt>
                <c:pt idx="90">
                  <c:v>30-Jun</c:v>
                </c:pt>
              </c:strCache>
            </c:strRef>
          </c:cat>
          <c:val>
            <c:numRef>
              <c:f>Daily_PV!$B$4:$B$94</c:f>
              <c:numCache>
                <c:formatCode>General</c:formatCode>
                <c:ptCount val="91"/>
                <c:pt idx="0">
                  <c:v>4812</c:v>
                </c:pt>
                <c:pt idx="1">
                  <c:v>8217</c:v>
                </c:pt>
                <c:pt idx="2">
                  <c:v>17934</c:v>
                </c:pt>
                <c:pt idx="3">
                  <c:v>15919</c:v>
                </c:pt>
                <c:pt idx="4">
                  <c:v>10248</c:v>
                </c:pt>
                <c:pt idx="5">
                  <c:v>15543</c:v>
                </c:pt>
                <c:pt idx="6">
                  <c:v>14058</c:v>
                </c:pt>
                <c:pt idx="7">
                  <c:v>4645</c:v>
                </c:pt>
                <c:pt idx="8">
                  <c:v>11047</c:v>
                </c:pt>
                <c:pt idx="9">
                  <c:v>4764</c:v>
                </c:pt>
                <c:pt idx="10">
                  <c:v>9813</c:v>
                </c:pt>
                <c:pt idx="11">
                  <c:v>9884</c:v>
                </c:pt>
                <c:pt idx="12">
                  <c:v>8937</c:v>
                </c:pt>
                <c:pt idx="13">
                  <c:v>7373</c:v>
                </c:pt>
                <c:pt idx="14">
                  <c:v>7613</c:v>
                </c:pt>
                <c:pt idx="15">
                  <c:v>9728</c:v>
                </c:pt>
                <c:pt idx="16">
                  <c:v>12548</c:v>
                </c:pt>
                <c:pt idx="17">
                  <c:v>11891</c:v>
                </c:pt>
                <c:pt idx="18">
                  <c:v>5883</c:v>
                </c:pt>
                <c:pt idx="19">
                  <c:v>5561</c:v>
                </c:pt>
                <c:pt idx="20">
                  <c:v>5671</c:v>
                </c:pt>
                <c:pt idx="21">
                  <c:v>9492</c:v>
                </c:pt>
                <c:pt idx="22">
                  <c:v>11813</c:v>
                </c:pt>
                <c:pt idx="23">
                  <c:v>13328</c:v>
                </c:pt>
                <c:pt idx="24">
                  <c:v>7717</c:v>
                </c:pt>
                <c:pt idx="25">
                  <c:v>12754</c:v>
                </c:pt>
                <c:pt idx="26">
                  <c:v>16214</c:v>
                </c:pt>
                <c:pt idx="27">
                  <c:v>5780</c:v>
                </c:pt>
                <c:pt idx="28">
                  <c:v>8443</c:v>
                </c:pt>
                <c:pt idx="29">
                  <c:v>10577</c:v>
                </c:pt>
                <c:pt idx="30">
                  <c:v>21690</c:v>
                </c:pt>
                <c:pt idx="31">
                  <c:v>22206</c:v>
                </c:pt>
                <c:pt idx="32">
                  <c:v>8531</c:v>
                </c:pt>
                <c:pt idx="33">
                  <c:v>7884</c:v>
                </c:pt>
                <c:pt idx="34">
                  <c:v>10693</c:v>
                </c:pt>
                <c:pt idx="35">
                  <c:v>8006</c:v>
                </c:pt>
                <c:pt idx="36">
                  <c:v>11233</c:v>
                </c:pt>
                <c:pt idx="37">
                  <c:v>12929</c:v>
                </c:pt>
                <c:pt idx="38">
                  <c:v>6071</c:v>
                </c:pt>
                <c:pt idx="39">
                  <c:v>7876</c:v>
                </c:pt>
                <c:pt idx="40">
                  <c:v>9380</c:v>
                </c:pt>
                <c:pt idx="41">
                  <c:v>11428</c:v>
                </c:pt>
                <c:pt idx="42">
                  <c:v>14119</c:v>
                </c:pt>
                <c:pt idx="43">
                  <c:v>17265</c:v>
                </c:pt>
                <c:pt idx="44">
                  <c:v>13049</c:v>
                </c:pt>
                <c:pt idx="45">
                  <c:v>20364</c:v>
                </c:pt>
                <c:pt idx="46">
                  <c:v>12795</c:v>
                </c:pt>
                <c:pt idx="47">
                  <c:v>10549</c:v>
                </c:pt>
                <c:pt idx="48">
                  <c:v>13406</c:v>
                </c:pt>
                <c:pt idx="49">
                  <c:v>17304</c:v>
                </c:pt>
                <c:pt idx="50">
                  <c:v>20889</c:v>
                </c:pt>
                <c:pt idx="51">
                  <c:v>30104</c:v>
                </c:pt>
                <c:pt idx="52">
                  <c:v>18677</c:v>
                </c:pt>
                <c:pt idx="53">
                  <c:v>16910</c:v>
                </c:pt>
                <c:pt idx="54">
                  <c:v>15846</c:v>
                </c:pt>
                <c:pt idx="55">
                  <c:v>17105</c:v>
                </c:pt>
                <c:pt idx="56">
                  <c:v>9676</c:v>
                </c:pt>
                <c:pt idx="57">
                  <c:v>5682</c:v>
                </c:pt>
                <c:pt idx="58">
                  <c:v>18111</c:v>
                </c:pt>
                <c:pt idx="59">
                  <c:v>22761</c:v>
                </c:pt>
                <c:pt idx="60">
                  <c:v>18455</c:v>
                </c:pt>
                <c:pt idx="61">
                  <c:v>16354</c:v>
                </c:pt>
                <c:pt idx="62">
                  <c:v>17081</c:v>
                </c:pt>
                <c:pt idx="63">
                  <c:v>19631</c:v>
                </c:pt>
                <c:pt idx="64">
                  <c:v>21521</c:v>
                </c:pt>
                <c:pt idx="65">
                  <c:v>30320</c:v>
                </c:pt>
                <c:pt idx="66">
                  <c:v>24527</c:v>
                </c:pt>
                <c:pt idx="67">
                  <c:v>14793</c:v>
                </c:pt>
                <c:pt idx="68">
                  <c:v>18815</c:v>
                </c:pt>
                <c:pt idx="69">
                  <c:v>20676</c:v>
                </c:pt>
                <c:pt idx="70">
                  <c:v>21281</c:v>
                </c:pt>
                <c:pt idx="71">
                  <c:v>24869</c:v>
                </c:pt>
                <c:pt idx="72">
                  <c:v>28841</c:v>
                </c:pt>
                <c:pt idx="73">
                  <c:v>29919</c:v>
                </c:pt>
                <c:pt idx="74">
                  <c:v>19366</c:v>
                </c:pt>
                <c:pt idx="75">
                  <c:v>20333</c:v>
                </c:pt>
                <c:pt idx="76">
                  <c:v>21539</c:v>
                </c:pt>
                <c:pt idx="77">
                  <c:v>21771</c:v>
                </c:pt>
                <c:pt idx="78">
                  <c:v>23542</c:v>
                </c:pt>
                <c:pt idx="79">
                  <c:v>31261</c:v>
                </c:pt>
                <c:pt idx="80">
                  <c:v>18388</c:v>
                </c:pt>
                <c:pt idx="81">
                  <c:v>17988</c:v>
                </c:pt>
                <c:pt idx="82">
                  <c:v>20929</c:v>
                </c:pt>
                <c:pt idx="83">
                  <c:v>19720</c:v>
                </c:pt>
                <c:pt idx="84">
                  <c:v>12373</c:v>
                </c:pt>
                <c:pt idx="85">
                  <c:v>13415</c:v>
                </c:pt>
                <c:pt idx="86">
                  <c:v>11694</c:v>
                </c:pt>
                <c:pt idx="87">
                  <c:v>24158</c:v>
                </c:pt>
                <c:pt idx="88">
                  <c:v>13383</c:v>
                </c:pt>
                <c:pt idx="89">
                  <c:v>14631</c:v>
                </c:pt>
                <c:pt idx="90">
                  <c:v>15659</c:v>
                </c:pt>
              </c:numCache>
            </c:numRef>
          </c:val>
          <c:smooth val="0"/>
          <c:extLst>
            <c:ext xmlns:c16="http://schemas.microsoft.com/office/drawing/2014/chart" uri="{C3380CC4-5D6E-409C-BE32-E72D297353CC}">
              <c16:uniqueId val="{00000000-70B0-4855-BD6D-5F87EE77429A}"/>
            </c:ext>
          </c:extLst>
        </c:ser>
        <c:ser>
          <c:idx val="1"/>
          <c:order val="1"/>
          <c:tx>
            <c:strRef>
              <c:f>Daily_PV!$C$3</c:f>
              <c:strCache>
                <c:ptCount val="1"/>
                <c:pt idx="0">
                  <c:v>MemberCount</c:v>
                </c:pt>
              </c:strCache>
            </c:strRef>
          </c:tx>
          <c:spPr>
            <a:ln w="28575" cap="rnd">
              <a:solidFill>
                <a:schemeClr val="accent2"/>
              </a:solidFill>
              <a:round/>
            </a:ln>
            <a:effectLst/>
          </c:spPr>
          <c:marker>
            <c:symbol val="none"/>
          </c:marker>
          <c:cat>
            <c:strRef>
              <c:f>Daily_PV!$A$4:$A$94</c:f>
              <c:strCache>
                <c:ptCount val="91"/>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pt idx="30">
                  <c:v>01-May</c:v>
                </c:pt>
                <c:pt idx="31">
                  <c:v>02-May</c:v>
                </c:pt>
                <c:pt idx="32">
                  <c:v>03-May</c:v>
                </c:pt>
                <c:pt idx="33">
                  <c:v>04-May</c:v>
                </c:pt>
                <c:pt idx="34">
                  <c:v>05-May</c:v>
                </c:pt>
                <c:pt idx="35">
                  <c:v>06-May</c:v>
                </c:pt>
                <c:pt idx="36">
                  <c:v>07-May</c:v>
                </c:pt>
                <c:pt idx="37">
                  <c:v>08-May</c:v>
                </c:pt>
                <c:pt idx="38">
                  <c:v>09-May</c:v>
                </c:pt>
                <c:pt idx="39">
                  <c:v>10-May</c:v>
                </c:pt>
                <c:pt idx="40">
                  <c:v>11-May</c:v>
                </c:pt>
                <c:pt idx="41">
                  <c:v>12-May</c:v>
                </c:pt>
                <c:pt idx="42">
                  <c:v>13-May</c:v>
                </c:pt>
                <c:pt idx="43">
                  <c:v>14-May</c:v>
                </c:pt>
                <c:pt idx="44">
                  <c:v>15-May</c:v>
                </c:pt>
                <c:pt idx="45">
                  <c:v>16-May</c:v>
                </c:pt>
                <c:pt idx="46">
                  <c:v>17-May</c:v>
                </c:pt>
                <c:pt idx="47">
                  <c:v>18-May</c:v>
                </c:pt>
                <c:pt idx="48">
                  <c:v>19-May</c:v>
                </c:pt>
                <c:pt idx="49">
                  <c:v>20-May</c:v>
                </c:pt>
                <c:pt idx="50">
                  <c:v>21-May</c:v>
                </c:pt>
                <c:pt idx="51">
                  <c:v>22-May</c:v>
                </c:pt>
                <c:pt idx="52">
                  <c:v>23-May</c:v>
                </c:pt>
                <c:pt idx="53">
                  <c:v>24-May</c:v>
                </c:pt>
                <c:pt idx="54">
                  <c:v>25-May</c:v>
                </c:pt>
                <c:pt idx="55">
                  <c:v>26-May</c:v>
                </c:pt>
                <c:pt idx="56">
                  <c:v>27-May</c:v>
                </c:pt>
                <c:pt idx="57">
                  <c:v>28-May</c:v>
                </c:pt>
                <c:pt idx="58">
                  <c:v>29-May</c:v>
                </c:pt>
                <c:pt idx="59">
                  <c:v>30-May</c:v>
                </c:pt>
                <c:pt idx="60">
                  <c:v>31-May</c:v>
                </c:pt>
                <c:pt idx="61">
                  <c:v>01-Jun</c:v>
                </c:pt>
                <c:pt idx="62">
                  <c:v>02-Jun</c:v>
                </c:pt>
                <c:pt idx="63">
                  <c:v>03-Jun</c:v>
                </c:pt>
                <c:pt idx="64">
                  <c:v>04-Jun</c:v>
                </c:pt>
                <c:pt idx="65">
                  <c:v>05-Jun</c:v>
                </c:pt>
                <c:pt idx="66">
                  <c:v>06-Jun</c:v>
                </c:pt>
                <c:pt idx="67">
                  <c:v>07-Jun</c:v>
                </c:pt>
                <c:pt idx="68">
                  <c:v>08-Jun</c:v>
                </c:pt>
                <c:pt idx="69">
                  <c:v>09-Jun</c:v>
                </c:pt>
                <c:pt idx="70">
                  <c:v>10-Jun</c:v>
                </c:pt>
                <c:pt idx="71">
                  <c:v>11-Jun</c:v>
                </c:pt>
                <c:pt idx="72">
                  <c:v>12-Jun</c:v>
                </c:pt>
                <c:pt idx="73">
                  <c:v>13-Jun</c:v>
                </c:pt>
                <c:pt idx="74">
                  <c:v>14-Jun</c:v>
                </c:pt>
                <c:pt idx="75">
                  <c:v>15-Jun</c:v>
                </c:pt>
                <c:pt idx="76">
                  <c:v>16-Jun</c:v>
                </c:pt>
                <c:pt idx="77">
                  <c:v>17-Jun</c:v>
                </c:pt>
                <c:pt idx="78">
                  <c:v>18-Jun</c:v>
                </c:pt>
                <c:pt idx="79">
                  <c:v>19-Jun</c:v>
                </c:pt>
                <c:pt idx="80">
                  <c:v>20-Jun</c:v>
                </c:pt>
                <c:pt idx="81">
                  <c:v>21-Jun</c:v>
                </c:pt>
                <c:pt idx="82">
                  <c:v>22-Jun</c:v>
                </c:pt>
                <c:pt idx="83">
                  <c:v>23-Jun</c:v>
                </c:pt>
                <c:pt idx="84">
                  <c:v>24-Jun</c:v>
                </c:pt>
                <c:pt idx="85">
                  <c:v>25-Jun</c:v>
                </c:pt>
                <c:pt idx="86">
                  <c:v>26-Jun</c:v>
                </c:pt>
                <c:pt idx="87">
                  <c:v>27-Jun</c:v>
                </c:pt>
                <c:pt idx="88">
                  <c:v>28-Jun</c:v>
                </c:pt>
                <c:pt idx="89">
                  <c:v>29-Jun</c:v>
                </c:pt>
                <c:pt idx="90">
                  <c:v>30-Jun</c:v>
                </c:pt>
              </c:strCache>
            </c:strRef>
          </c:cat>
          <c:val>
            <c:numRef>
              <c:f>Daily_PV!$C$4:$C$94</c:f>
              <c:numCache>
                <c:formatCode>General</c:formatCode>
                <c:ptCount val="91"/>
                <c:pt idx="0">
                  <c:v>3554</c:v>
                </c:pt>
                <c:pt idx="1">
                  <c:v>5065</c:v>
                </c:pt>
                <c:pt idx="2">
                  <c:v>7685</c:v>
                </c:pt>
                <c:pt idx="3">
                  <c:v>6671</c:v>
                </c:pt>
                <c:pt idx="4">
                  <c:v>6185</c:v>
                </c:pt>
                <c:pt idx="5">
                  <c:v>8573</c:v>
                </c:pt>
                <c:pt idx="6">
                  <c:v>8316</c:v>
                </c:pt>
                <c:pt idx="7">
                  <c:v>3385</c:v>
                </c:pt>
                <c:pt idx="8">
                  <c:v>6526</c:v>
                </c:pt>
                <c:pt idx="9">
                  <c:v>2838</c:v>
                </c:pt>
                <c:pt idx="10">
                  <c:v>5218</c:v>
                </c:pt>
                <c:pt idx="11">
                  <c:v>6451</c:v>
                </c:pt>
                <c:pt idx="12">
                  <c:v>6300</c:v>
                </c:pt>
                <c:pt idx="13">
                  <c:v>5472</c:v>
                </c:pt>
                <c:pt idx="14">
                  <c:v>5445</c:v>
                </c:pt>
                <c:pt idx="15">
                  <c:v>6201</c:v>
                </c:pt>
                <c:pt idx="16">
                  <c:v>6287</c:v>
                </c:pt>
                <c:pt idx="17">
                  <c:v>6128</c:v>
                </c:pt>
                <c:pt idx="18">
                  <c:v>4396</c:v>
                </c:pt>
                <c:pt idx="19">
                  <c:v>4268</c:v>
                </c:pt>
                <c:pt idx="20">
                  <c:v>4350</c:v>
                </c:pt>
                <c:pt idx="21">
                  <c:v>6370</c:v>
                </c:pt>
                <c:pt idx="22">
                  <c:v>7206</c:v>
                </c:pt>
                <c:pt idx="23">
                  <c:v>6753</c:v>
                </c:pt>
                <c:pt idx="24">
                  <c:v>4455</c:v>
                </c:pt>
                <c:pt idx="25">
                  <c:v>7678</c:v>
                </c:pt>
                <c:pt idx="26">
                  <c:v>9185</c:v>
                </c:pt>
                <c:pt idx="27">
                  <c:v>4396</c:v>
                </c:pt>
                <c:pt idx="28">
                  <c:v>5845</c:v>
                </c:pt>
                <c:pt idx="29">
                  <c:v>6585</c:v>
                </c:pt>
                <c:pt idx="30">
                  <c:v>8851</c:v>
                </c:pt>
                <c:pt idx="31">
                  <c:v>8657</c:v>
                </c:pt>
                <c:pt idx="32">
                  <c:v>5508</c:v>
                </c:pt>
                <c:pt idx="33">
                  <c:v>5690</c:v>
                </c:pt>
                <c:pt idx="34">
                  <c:v>7244</c:v>
                </c:pt>
                <c:pt idx="35">
                  <c:v>5550</c:v>
                </c:pt>
                <c:pt idx="36">
                  <c:v>6828</c:v>
                </c:pt>
                <c:pt idx="37">
                  <c:v>6428</c:v>
                </c:pt>
                <c:pt idx="38">
                  <c:v>3454</c:v>
                </c:pt>
                <c:pt idx="39">
                  <c:v>5463</c:v>
                </c:pt>
                <c:pt idx="40">
                  <c:v>6538</c:v>
                </c:pt>
                <c:pt idx="41">
                  <c:v>7683</c:v>
                </c:pt>
                <c:pt idx="42">
                  <c:v>8630</c:v>
                </c:pt>
                <c:pt idx="43">
                  <c:v>9208</c:v>
                </c:pt>
                <c:pt idx="44">
                  <c:v>5932</c:v>
                </c:pt>
                <c:pt idx="45">
                  <c:v>8466</c:v>
                </c:pt>
                <c:pt idx="46">
                  <c:v>7823</c:v>
                </c:pt>
                <c:pt idx="47">
                  <c:v>6850</c:v>
                </c:pt>
                <c:pt idx="48">
                  <c:v>8623</c:v>
                </c:pt>
                <c:pt idx="49">
                  <c:v>9753</c:v>
                </c:pt>
                <c:pt idx="50">
                  <c:v>10288</c:v>
                </c:pt>
                <c:pt idx="51">
                  <c:v>10985</c:v>
                </c:pt>
                <c:pt idx="52">
                  <c:v>7703</c:v>
                </c:pt>
                <c:pt idx="53">
                  <c:v>9501</c:v>
                </c:pt>
                <c:pt idx="54">
                  <c:v>9589</c:v>
                </c:pt>
                <c:pt idx="55">
                  <c:v>10155</c:v>
                </c:pt>
                <c:pt idx="56">
                  <c:v>6586</c:v>
                </c:pt>
                <c:pt idx="57">
                  <c:v>3786</c:v>
                </c:pt>
                <c:pt idx="58">
                  <c:v>7460</c:v>
                </c:pt>
                <c:pt idx="59">
                  <c:v>7667</c:v>
                </c:pt>
                <c:pt idx="60">
                  <c:v>7266</c:v>
                </c:pt>
                <c:pt idx="61">
                  <c:v>9436</c:v>
                </c:pt>
                <c:pt idx="62">
                  <c:v>10354</c:v>
                </c:pt>
                <c:pt idx="63">
                  <c:v>10939</c:v>
                </c:pt>
                <c:pt idx="64">
                  <c:v>10718</c:v>
                </c:pt>
                <c:pt idx="65">
                  <c:v>11207</c:v>
                </c:pt>
                <c:pt idx="66">
                  <c:v>9675</c:v>
                </c:pt>
                <c:pt idx="67">
                  <c:v>8579</c:v>
                </c:pt>
                <c:pt idx="68">
                  <c:v>10925</c:v>
                </c:pt>
                <c:pt idx="69">
                  <c:v>11794</c:v>
                </c:pt>
                <c:pt idx="70">
                  <c:v>11581</c:v>
                </c:pt>
                <c:pt idx="71">
                  <c:v>11696</c:v>
                </c:pt>
                <c:pt idx="72">
                  <c:v>10774</c:v>
                </c:pt>
                <c:pt idx="73">
                  <c:v>11020</c:v>
                </c:pt>
                <c:pt idx="74">
                  <c:v>10418</c:v>
                </c:pt>
                <c:pt idx="75">
                  <c:v>11467</c:v>
                </c:pt>
                <c:pt idx="76">
                  <c:v>12205</c:v>
                </c:pt>
                <c:pt idx="77">
                  <c:v>11732</c:v>
                </c:pt>
                <c:pt idx="78">
                  <c:v>10922</c:v>
                </c:pt>
                <c:pt idx="79">
                  <c:v>11579</c:v>
                </c:pt>
                <c:pt idx="80">
                  <c:v>7474</c:v>
                </c:pt>
                <c:pt idx="81">
                  <c:v>10300</c:v>
                </c:pt>
                <c:pt idx="82">
                  <c:v>11752</c:v>
                </c:pt>
                <c:pt idx="83">
                  <c:v>11415</c:v>
                </c:pt>
                <c:pt idx="84">
                  <c:v>7671</c:v>
                </c:pt>
                <c:pt idx="85">
                  <c:v>6920</c:v>
                </c:pt>
                <c:pt idx="86">
                  <c:v>5288</c:v>
                </c:pt>
                <c:pt idx="87">
                  <c:v>10003</c:v>
                </c:pt>
                <c:pt idx="88">
                  <c:v>8126</c:v>
                </c:pt>
                <c:pt idx="89">
                  <c:v>8826</c:v>
                </c:pt>
                <c:pt idx="90">
                  <c:v>9790</c:v>
                </c:pt>
              </c:numCache>
            </c:numRef>
          </c:val>
          <c:smooth val="0"/>
          <c:extLst>
            <c:ext xmlns:c16="http://schemas.microsoft.com/office/drawing/2014/chart" uri="{C3380CC4-5D6E-409C-BE32-E72D297353CC}">
              <c16:uniqueId val="{00000001-70B0-4855-BD6D-5F87EE77429A}"/>
            </c:ext>
          </c:extLst>
        </c:ser>
        <c:ser>
          <c:idx val="2"/>
          <c:order val="2"/>
          <c:tx>
            <c:strRef>
              <c:f>Daily_PV!$D$3</c:f>
              <c:strCache>
                <c:ptCount val="1"/>
                <c:pt idx="0">
                  <c:v>CasualCount</c:v>
                </c:pt>
              </c:strCache>
            </c:strRef>
          </c:tx>
          <c:spPr>
            <a:ln w="28575" cap="rnd">
              <a:solidFill>
                <a:schemeClr val="accent3"/>
              </a:solidFill>
              <a:round/>
            </a:ln>
            <a:effectLst/>
          </c:spPr>
          <c:marker>
            <c:symbol val="none"/>
          </c:marker>
          <c:cat>
            <c:strRef>
              <c:f>Daily_PV!$A$4:$A$94</c:f>
              <c:strCache>
                <c:ptCount val="91"/>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pt idx="30">
                  <c:v>01-May</c:v>
                </c:pt>
                <c:pt idx="31">
                  <c:v>02-May</c:v>
                </c:pt>
                <c:pt idx="32">
                  <c:v>03-May</c:v>
                </c:pt>
                <c:pt idx="33">
                  <c:v>04-May</c:v>
                </c:pt>
                <c:pt idx="34">
                  <c:v>05-May</c:v>
                </c:pt>
                <c:pt idx="35">
                  <c:v>06-May</c:v>
                </c:pt>
                <c:pt idx="36">
                  <c:v>07-May</c:v>
                </c:pt>
                <c:pt idx="37">
                  <c:v>08-May</c:v>
                </c:pt>
                <c:pt idx="38">
                  <c:v>09-May</c:v>
                </c:pt>
                <c:pt idx="39">
                  <c:v>10-May</c:v>
                </c:pt>
                <c:pt idx="40">
                  <c:v>11-May</c:v>
                </c:pt>
                <c:pt idx="41">
                  <c:v>12-May</c:v>
                </c:pt>
                <c:pt idx="42">
                  <c:v>13-May</c:v>
                </c:pt>
                <c:pt idx="43">
                  <c:v>14-May</c:v>
                </c:pt>
                <c:pt idx="44">
                  <c:v>15-May</c:v>
                </c:pt>
                <c:pt idx="45">
                  <c:v>16-May</c:v>
                </c:pt>
                <c:pt idx="46">
                  <c:v>17-May</c:v>
                </c:pt>
                <c:pt idx="47">
                  <c:v>18-May</c:v>
                </c:pt>
                <c:pt idx="48">
                  <c:v>19-May</c:v>
                </c:pt>
                <c:pt idx="49">
                  <c:v>20-May</c:v>
                </c:pt>
                <c:pt idx="50">
                  <c:v>21-May</c:v>
                </c:pt>
                <c:pt idx="51">
                  <c:v>22-May</c:v>
                </c:pt>
                <c:pt idx="52">
                  <c:v>23-May</c:v>
                </c:pt>
                <c:pt idx="53">
                  <c:v>24-May</c:v>
                </c:pt>
                <c:pt idx="54">
                  <c:v>25-May</c:v>
                </c:pt>
                <c:pt idx="55">
                  <c:v>26-May</c:v>
                </c:pt>
                <c:pt idx="56">
                  <c:v>27-May</c:v>
                </c:pt>
                <c:pt idx="57">
                  <c:v>28-May</c:v>
                </c:pt>
                <c:pt idx="58">
                  <c:v>29-May</c:v>
                </c:pt>
                <c:pt idx="59">
                  <c:v>30-May</c:v>
                </c:pt>
                <c:pt idx="60">
                  <c:v>31-May</c:v>
                </c:pt>
                <c:pt idx="61">
                  <c:v>01-Jun</c:v>
                </c:pt>
                <c:pt idx="62">
                  <c:v>02-Jun</c:v>
                </c:pt>
                <c:pt idx="63">
                  <c:v>03-Jun</c:v>
                </c:pt>
                <c:pt idx="64">
                  <c:v>04-Jun</c:v>
                </c:pt>
                <c:pt idx="65">
                  <c:v>05-Jun</c:v>
                </c:pt>
                <c:pt idx="66">
                  <c:v>06-Jun</c:v>
                </c:pt>
                <c:pt idx="67">
                  <c:v>07-Jun</c:v>
                </c:pt>
                <c:pt idx="68">
                  <c:v>08-Jun</c:v>
                </c:pt>
                <c:pt idx="69">
                  <c:v>09-Jun</c:v>
                </c:pt>
                <c:pt idx="70">
                  <c:v>10-Jun</c:v>
                </c:pt>
                <c:pt idx="71">
                  <c:v>11-Jun</c:v>
                </c:pt>
                <c:pt idx="72">
                  <c:v>12-Jun</c:v>
                </c:pt>
                <c:pt idx="73">
                  <c:v>13-Jun</c:v>
                </c:pt>
                <c:pt idx="74">
                  <c:v>14-Jun</c:v>
                </c:pt>
                <c:pt idx="75">
                  <c:v>15-Jun</c:v>
                </c:pt>
                <c:pt idx="76">
                  <c:v>16-Jun</c:v>
                </c:pt>
                <c:pt idx="77">
                  <c:v>17-Jun</c:v>
                </c:pt>
                <c:pt idx="78">
                  <c:v>18-Jun</c:v>
                </c:pt>
                <c:pt idx="79">
                  <c:v>19-Jun</c:v>
                </c:pt>
                <c:pt idx="80">
                  <c:v>20-Jun</c:v>
                </c:pt>
                <c:pt idx="81">
                  <c:v>21-Jun</c:v>
                </c:pt>
                <c:pt idx="82">
                  <c:v>22-Jun</c:v>
                </c:pt>
                <c:pt idx="83">
                  <c:v>23-Jun</c:v>
                </c:pt>
                <c:pt idx="84">
                  <c:v>24-Jun</c:v>
                </c:pt>
                <c:pt idx="85">
                  <c:v>25-Jun</c:v>
                </c:pt>
                <c:pt idx="86">
                  <c:v>26-Jun</c:v>
                </c:pt>
                <c:pt idx="87">
                  <c:v>27-Jun</c:v>
                </c:pt>
                <c:pt idx="88">
                  <c:v>28-Jun</c:v>
                </c:pt>
                <c:pt idx="89">
                  <c:v>29-Jun</c:v>
                </c:pt>
                <c:pt idx="90">
                  <c:v>30-Jun</c:v>
                </c:pt>
              </c:strCache>
            </c:strRef>
          </c:cat>
          <c:val>
            <c:numRef>
              <c:f>Daily_PV!$D$4:$D$94</c:f>
              <c:numCache>
                <c:formatCode>General</c:formatCode>
                <c:ptCount val="91"/>
                <c:pt idx="0">
                  <c:v>1258</c:v>
                </c:pt>
                <c:pt idx="1">
                  <c:v>3152</c:v>
                </c:pt>
                <c:pt idx="2">
                  <c:v>10249</c:v>
                </c:pt>
                <c:pt idx="3">
                  <c:v>9248</c:v>
                </c:pt>
                <c:pt idx="4">
                  <c:v>4063</c:v>
                </c:pt>
                <c:pt idx="5">
                  <c:v>6970</c:v>
                </c:pt>
                <c:pt idx="6">
                  <c:v>5742</c:v>
                </c:pt>
                <c:pt idx="7">
                  <c:v>1260</c:v>
                </c:pt>
                <c:pt idx="8">
                  <c:v>4521</c:v>
                </c:pt>
                <c:pt idx="9">
                  <c:v>1926</c:v>
                </c:pt>
                <c:pt idx="10">
                  <c:v>4595</c:v>
                </c:pt>
                <c:pt idx="11">
                  <c:v>3433</c:v>
                </c:pt>
                <c:pt idx="12">
                  <c:v>2637</c:v>
                </c:pt>
                <c:pt idx="13">
                  <c:v>1901</c:v>
                </c:pt>
                <c:pt idx="14">
                  <c:v>2168</c:v>
                </c:pt>
                <c:pt idx="15">
                  <c:v>3527</c:v>
                </c:pt>
                <c:pt idx="16">
                  <c:v>6261</c:v>
                </c:pt>
                <c:pt idx="17">
                  <c:v>5763</c:v>
                </c:pt>
                <c:pt idx="18">
                  <c:v>1487</c:v>
                </c:pt>
                <c:pt idx="19">
                  <c:v>1293</c:v>
                </c:pt>
                <c:pt idx="20">
                  <c:v>1321</c:v>
                </c:pt>
                <c:pt idx="21">
                  <c:v>3122</c:v>
                </c:pt>
                <c:pt idx="22">
                  <c:v>4607</c:v>
                </c:pt>
                <c:pt idx="23">
                  <c:v>6575</c:v>
                </c:pt>
                <c:pt idx="24">
                  <c:v>3262</c:v>
                </c:pt>
                <c:pt idx="25">
                  <c:v>5076</c:v>
                </c:pt>
                <c:pt idx="26">
                  <c:v>7029</c:v>
                </c:pt>
                <c:pt idx="27">
                  <c:v>1384</c:v>
                </c:pt>
                <c:pt idx="28">
                  <c:v>2598</c:v>
                </c:pt>
                <c:pt idx="29">
                  <c:v>3992</c:v>
                </c:pt>
                <c:pt idx="30">
                  <c:v>12839</c:v>
                </c:pt>
                <c:pt idx="31">
                  <c:v>13549</c:v>
                </c:pt>
                <c:pt idx="32">
                  <c:v>3023</c:v>
                </c:pt>
                <c:pt idx="33">
                  <c:v>2194</c:v>
                </c:pt>
                <c:pt idx="34">
                  <c:v>3449</c:v>
                </c:pt>
                <c:pt idx="35">
                  <c:v>2456</c:v>
                </c:pt>
                <c:pt idx="36">
                  <c:v>4405</c:v>
                </c:pt>
                <c:pt idx="37">
                  <c:v>6501</c:v>
                </c:pt>
                <c:pt idx="38">
                  <c:v>2617</c:v>
                </c:pt>
                <c:pt idx="39">
                  <c:v>2413</c:v>
                </c:pt>
                <c:pt idx="40">
                  <c:v>2842</c:v>
                </c:pt>
                <c:pt idx="41">
                  <c:v>3745</c:v>
                </c:pt>
                <c:pt idx="42">
                  <c:v>5489</c:v>
                </c:pt>
                <c:pt idx="43">
                  <c:v>8057</c:v>
                </c:pt>
                <c:pt idx="44">
                  <c:v>7117</c:v>
                </c:pt>
                <c:pt idx="45">
                  <c:v>11898</c:v>
                </c:pt>
                <c:pt idx="46">
                  <c:v>4972</c:v>
                </c:pt>
                <c:pt idx="47">
                  <c:v>3699</c:v>
                </c:pt>
                <c:pt idx="48">
                  <c:v>4783</c:v>
                </c:pt>
                <c:pt idx="49">
                  <c:v>7551</c:v>
                </c:pt>
                <c:pt idx="50">
                  <c:v>10601</c:v>
                </c:pt>
                <c:pt idx="51">
                  <c:v>19119</c:v>
                </c:pt>
                <c:pt idx="52">
                  <c:v>10974</c:v>
                </c:pt>
                <c:pt idx="53">
                  <c:v>7409</c:v>
                </c:pt>
                <c:pt idx="54">
                  <c:v>6257</c:v>
                </c:pt>
                <c:pt idx="55">
                  <c:v>6950</c:v>
                </c:pt>
                <c:pt idx="56">
                  <c:v>3090</c:v>
                </c:pt>
                <c:pt idx="57">
                  <c:v>1896</c:v>
                </c:pt>
                <c:pt idx="58">
                  <c:v>10651</c:v>
                </c:pt>
                <c:pt idx="59">
                  <c:v>15094</c:v>
                </c:pt>
                <c:pt idx="60">
                  <c:v>11189</c:v>
                </c:pt>
                <c:pt idx="61">
                  <c:v>6918</c:v>
                </c:pt>
                <c:pt idx="62">
                  <c:v>6727</c:v>
                </c:pt>
                <c:pt idx="63">
                  <c:v>8692</c:v>
                </c:pt>
                <c:pt idx="64">
                  <c:v>10803</c:v>
                </c:pt>
                <c:pt idx="65">
                  <c:v>19113</c:v>
                </c:pt>
                <c:pt idx="66">
                  <c:v>14852</c:v>
                </c:pt>
                <c:pt idx="67">
                  <c:v>6214</c:v>
                </c:pt>
                <c:pt idx="68">
                  <c:v>7890</c:v>
                </c:pt>
                <c:pt idx="69">
                  <c:v>8882</c:v>
                </c:pt>
                <c:pt idx="70">
                  <c:v>9700</c:v>
                </c:pt>
                <c:pt idx="71">
                  <c:v>13173</c:v>
                </c:pt>
                <c:pt idx="72">
                  <c:v>18067</c:v>
                </c:pt>
                <c:pt idx="73">
                  <c:v>18899</c:v>
                </c:pt>
                <c:pt idx="74">
                  <c:v>8948</c:v>
                </c:pt>
                <c:pt idx="75">
                  <c:v>8866</c:v>
                </c:pt>
                <c:pt idx="76">
                  <c:v>9334</c:v>
                </c:pt>
                <c:pt idx="77">
                  <c:v>10039</c:v>
                </c:pt>
                <c:pt idx="78">
                  <c:v>12620</c:v>
                </c:pt>
                <c:pt idx="79">
                  <c:v>19682</c:v>
                </c:pt>
                <c:pt idx="80">
                  <c:v>10914</c:v>
                </c:pt>
                <c:pt idx="81">
                  <c:v>7688</c:v>
                </c:pt>
                <c:pt idx="82">
                  <c:v>9177</c:v>
                </c:pt>
                <c:pt idx="83">
                  <c:v>8305</c:v>
                </c:pt>
                <c:pt idx="84">
                  <c:v>4702</c:v>
                </c:pt>
                <c:pt idx="85">
                  <c:v>6495</c:v>
                </c:pt>
                <c:pt idx="86">
                  <c:v>6406</c:v>
                </c:pt>
                <c:pt idx="87">
                  <c:v>14155</c:v>
                </c:pt>
                <c:pt idx="88">
                  <c:v>5257</c:v>
                </c:pt>
                <c:pt idx="89">
                  <c:v>5805</c:v>
                </c:pt>
                <c:pt idx="90">
                  <c:v>5869</c:v>
                </c:pt>
              </c:numCache>
            </c:numRef>
          </c:val>
          <c:smooth val="0"/>
          <c:extLst>
            <c:ext xmlns:c16="http://schemas.microsoft.com/office/drawing/2014/chart" uri="{C3380CC4-5D6E-409C-BE32-E72D297353CC}">
              <c16:uniqueId val="{00000002-70B0-4855-BD6D-5F87EE77429A}"/>
            </c:ext>
          </c:extLst>
        </c:ser>
        <c:dLbls>
          <c:showLegendKey val="0"/>
          <c:showVal val="0"/>
          <c:showCatName val="0"/>
          <c:showSerName val="0"/>
          <c:showPercent val="0"/>
          <c:showBubbleSize val="0"/>
        </c:dLbls>
        <c:smooth val="0"/>
        <c:axId val="559299008"/>
        <c:axId val="559300448"/>
      </c:lineChart>
      <c:catAx>
        <c:axId val="559299008"/>
        <c:scaling>
          <c:orientation val="minMax"/>
        </c:scaling>
        <c:delete val="0"/>
        <c:axPos val="b"/>
        <c:numFmt formatCode="#,##0,&quot;k&quot;\ "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00448"/>
        <c:crosses val="autoZero"/>
        <c:auto val="1"/>
        <c:lblAlgn val="ctr"/>
        <c:lblOffset val="100"/>
        <c:noMultiLvlLbl val="0"/>
      </c:catAx>
      <c:valAx>
        <c:axId val="559300448"/>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29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[DashBoard_Project_2.xlsx]Wkly_PV!PivotTable4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a:t>
            </a:r>
            <a:r>
              <a:rPr lang="en-US" baseline="0"/>
              <a:t> Ride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Wkly_PV!$B$3:$B$4</c:f>
              <c:strCache>
                <c:ptCount val="1"/>
                <c:pt idx="0">
                  <c:v>Apr</c:v>
                </c:pt>
              </c:strCache>
            </c:strRef>
          </c:tx>
          <c:spPr>
            <a:solidFill>
              <a:schemeClr val="accent1"/>
            </a:solidFill>
            <a:ln>
              <a:noFill/>
            </a:ln>
            <a:effectLst/>
          </c:spPr>
          <c:invertIfNegative val="0"/>
          <c:dLbls>
            <c:numFmt formatCode="#,##0,&quot;k&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Wkly_PV!$A$5:$A$12</c:f>
              <c:strCache>
                <c:ptCount val="7"/>
                <c:pt idx="0">
                  <c:v>Thursday</c:v>
                </c:pt>
                <c:pt idx="1">
                  <c:v>Monday</c:v>
                </c:pt>
                <c:pt idx="2">
                  <c:v>Wednesday</c:v>
                </c:pt>
                <c:pt idx="3">
                  <c:v>Tuesday</c:v>
                </c:pt>
                <c:pt idx="4">
                  <c:v>Friday</c:v>
                </c:pt>
                <c:pt idx="5">
                  <c:v>Sunday</c:v>
                </c:pt>
                <c:pt idx="6">
                  <c:v>Saturday</c:v>
                </c:pt>
              </c:strCache>
            </c:strRef>
          </c:cat>
          <c:val>
            <c:numRef>
              <c:f>Wkly_PV!$B$5:$B$12</c:f>
              <c:numCache>
                <c:formatCode>[&gt;=1000000]#,##0,,,"M";[&gt;=1000]#,##0,"K";0</c:formatCode>
                <c:ptCount val="7"/>
                <c:pt idx="0">
                  <c:v>35005</c:v>
                </c:pt>
                <c:pt idx="1">
                  <c:v>38769</c:v>
                </c:pt>
                <c:pt idx="2">
                  <c:v>32882</c:v>
                </c:pt>
                <c:pt idx="3">
                  <c:v>46255</c:v>
                </c:pt>
                <c:pt idx="4">
                  <c:v>51382</c:v>
                </c:pt>
                <c:pt idx="5">
                  <c:v>45340</c:v>
                </c:pt>
                <c:pt idx="6">
                  <c:v>48574</c:v>
                </c:pt>
              </c:numCache>
            </c:numRef>
          </c:val>
          <c:extLst>
            <c:ext xmlns:c16="http://schemas.microsoft.com/office/drawing/2014/chart" uri="{C3380CC4-5D6E-409C-BE32-E72D297353CC}">
              <c16:uniqueId val="{00000000-9BF5-4EDA-9890-D12F7FCF2824}"/>
            </c:ext>
          </c:extLst>
        </c:ser>
        <c:ser>
          <c:idx val="1"/>
          <c:order val="1"/>
          <c:tx>
            <c:strRef>
              <c:f>Wkly_PV!$C$3:$C$4</c:f>
              <c:strCache>
                <c:ptCount val="1"/>
                <c:pt idx="0">
                  <c:v>May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Wkly_PV!$A$5:$A$12</c:f>
              <c:strCache>
                <c:ptCount val="7"/>
                <c:pt idx="0">
                  <c:v>Thursday</c:v>
                </c:pt>
                <c:pt idx="1">
                  <c:v>Monday</c:v>
                </c:pt>
                <c:pt idx="2">
                  <c:v>Wednesday</c:v>
                </c:pt>
                <c:pt idx="3">
                  <c:v>Tuesday</c:v>
                </c:pt>
                <c:pt idx="4">
                  <c:v>Friday</c:v>
                </c:pt>
                <c:pt idx="5">
                  <c:v>Sunday</c:v>
                </c:pt>
                <c:pt idx="6">
                  <c:v>Saturday</c:v>
                </c:pt>
              </c:strCache>
            </c:strRef>
          </c:cat>
          <c:val>
            <c:numRef>
              <c:f>Wkly_PV!$C$5:$C$12</c:f>
              <c:numCache>
                <c:formatCode>[&gt;=1000000]#,##0,,,"M";[&gt;=1000]#,##0,"K";0</c:formatCode>
                <c:ptCount val="7"/>
                <c:pt idx="0">
                  <c:v>49105</c:v>
                </c:pt>
                <c:pt idx="1">
                  <c:v>64567</c:v>
                </c:pt>
                <c:pt idx="2">
                  <c:v>52632</c:v>
                </c:pt>
                <c:pt idx="3">
                  <c:v>43659</c:v>
                </c:pt>
                <c:pt idx="4">
                  <c:v>55069</c:v>
                </c:pt>
                <c:pt idx="5">
                  <c:v>90079</c:v>
                </c:pt>
                <c:pt idx="6">
                  <c:v>95883</c:v>
                </c:pt>
              </c:numCache>
            </c:numRef>
          </c:val>
          <c:extLst>
            <c:ext xmlns:c16="http://schemas.microsoft.com/office/drawing/2014/chart" uri="{C3380CC4-5D6E-409C-BE32-E72D297353CC}">
              <c16:uniqueId val="{00000000-B183-448B-AC84-A54D44775F87}"/>
            </c:ext>
          </c:extLst>
        </c:ser>
        <c:ser>
          <c:idx val="2"/>
          <c:order val="2"/>
          <c:tx>
            <c:strRef>
              <c:f>Wkly_PV!$D$3:$D$4</c:f>
              <c:strCache>
                <c:ptCount val="1"/>
                <c:pt idx="0">
                  <c:v>Jun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Wkly_PV!$A$5:$A$12</c:f>
              <c:strCache>
                <c:ptCount val="7"/>
                <c:pt idx="0">
                  <c:v>Thursday</c:v>
                </c:pt>
                <c:pt idx="1">
                  <c:v>Monday</c:v>
                </c:pt>
                <c:pt idx="2">
                  <c:v>Wednesday</c:v>
                </c:pt>
                <c:pt idx="3">
                  <c:v>Tuesday</c:v>
                </c:pt>
                <c:pt idx="4">
                  <c:v>Friday</c:v>
                </c:pt>
                <c:pt idx="5">
                  <c:v>Sunday</c:v>
                </c:pt>
                <c:pt idx="6">
                  <c:v>Saturday</c:v>
                </c:pt>
              </c:strCache>
            </c:strRef>
          </c:cat>
          <c:val>
            <c:numRef>
              <c:f>Wkly_PV!$D$5:$D$12</c:f>
              <c:numCache>
                <c:formatCode>[&gt;=1000000]#,##0,,,"M";[&gt;=1000]#,##0,"K";0</c:formatCode>
                <c:ptCount val="7"/>
                <c:pt idx="0">
                  <c:v>75056</c:v>
                </c:pt>
                <c:pt idx="1">
                  <c:v>65530</c:v>
                </c:pt>
                <c:pt idx="2">
                  <c:v>94675</c:v>
                </c:pt>
                <c:pt idx="3">
                  <c:v>91062</c:v>
                </c:pt>
                <c:pt idx="4">
                  <c:v>83347</c:v>
                </c:pt>
                <c:pt idx="5">
                  <c:v>96992</c:v>
                </c:pt>
                <c:pt idx="6">
                  <c:v>102116</c:v>
                </c:pt>
              </c:numCache>
            </c:numRef>
          </c:val>
          <c:extLst>
            <c:ext xmlns:c16="http://schemas.microsoft.com/office/drawing/2014/chart" uri="{C3380CC4-5D6E-409C-BE32-E72D297353CC}">
              <c16:uniqueId val="{00000001-B183-448B-AC84-A54D44775F87}"/>
            </c:ext>
          </c:extLst>
        </c:ser>
        <c:dLbls>
          <c:showLegendKey val="0"/>
          <c:showVal val="1"/>
          <c:showCatName val="0"/>
          <c:showSerName val="0"/>
          <c:showPercent val="0"/>
          <c:showBubbleSize val="0"/>
        </c:dLbls>
        <c:gapWidth val="150"/>
        <c:overlap val="100"/>
        <c:axId val="705563168"/>
        <c:axId val="705568448"/>
      </c:barChart>
      <c:catAx>
        <c:axId val="70556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568448"/>
        <c:crosses val="autoZero"/>
        <c:auto val="1"/>
        <c:lblAlgn val="ctr"/>
        <c:lblOffset val="100"/>
        <c:noMultiLvlLbl val="0"/>
      </c:catAx>
      <c:valAx>
        <c:axId val="705568448"/>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56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Rideable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1"/>
          <c:tx>
            <c:strRef>
              <c:f>'monthly_data (1)'!$J$1</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94-4D48-B97D-C2AC612F78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94-4D48-B97D-C2AC612F78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94-4D48-B97D-C2AC612F78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'monthly_data (1)'!$H$2:$H$4</c:f>
              <c:strCache>
                <c:ptCount val="3"/>
                <c:pt idx="0">
                  <c:v>Classic_bike</c:v>
                </c:pt>
                <c:pt idx="1">
                  <c:v>Electric_bike</c:v>
                </c:pt>
                <c:pt idx="2">
                  <c:v>Docked_bike</c:v>
                </c:pt>
              </c:strCache>
            </c:strRef>
          </c:cat>
          <c:val>
            <c:numRef>
              <c:f>'monthly_data (1)'!$J$2:$J$4</c:f>
              <c:numCache>
                <c:formatCode>0%</c:formatCode>
                <c:ptCount val="3"/>
                <c:pt idx="0">
                  <c:v>0.70416773749814987</c:v>
                </c:pt>
                <c:pt idx="1">
                  <c:v>0.20762544928898016</c:v>
                </c:pt>
                <c:pt idx="2">
                  <c:v>8.8206813212870008E-2</c:v>
                </c:pt>
              </c:numCache>
            </c:numRef>
          </c:val>
          <c:extLst>
            <c:ext xmlns:c16="http://schemas.microsoft.com/office/drawing/2014/chart" uri="{C3380CC4-5D6E-409C-BE32-E72D297353CC}">
              <c16:uniqueId val="{00000001-77ED-457D-A7DC-483D6A66231B}"/>
            </c:ext>
          </c:extLst>
        </c:ser>
        <c:dLbls>
          <c:dLblPos val="bestFit"/>
          <c:showLegendKey val="0"/>
          <c:showVal val="1"/>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'monthly_data (1)'!$I$1</c15:sqref>
                        </c15:formulaRef>
                      </c:ext>
                    </c:extLst>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4D94-4D48-B97D-C2AC612F78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4D94-4D48-B97D-C2AC612F78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4D94-4D48-B97D-C2AC612F7833}"/>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'monthly_data (1)'!$H$2:$H$4</c15:sqref>
                        </c15:formulaRef>
                      </c:ext>
                    </c:extLst>
                    <c:strCache>
                      <c:ptCount val="3"/>
                      <c:pt idx="0">
                        <c:v>Classic_bike</c:v>
                      </c:pt>
                      <c:pt idx="1">
                        <c:v>Electric_bike</c:v>
                      </c:pt>
                      <c:pt idx="2">
                        <c:v>Docked_bike</c:v>
                      </c:pt>
                    </c:strCache>
                  </c:strRef>
                </c:cat>
                <c:val>
                  <c:numRef>
                    <c:extLst>
                      <c:ext uri="{02D57815-91ED-43cb-92C2-25804820EDAC}">
                        <c15:formulaRef>
                          <c15:sqref>'monthly_data (1)'!$I$2:$I$4</c15:sqref>
                        </c15:formulaRef>
                      </c:ext>
                    </c:extLst>
                    <c:numCache>
                      <c:formatCode>General</c:formatCode>
                      <c:ptCount val="3"/>
                      <c:pt idx="0">
                        <c:v>956245</c:v>
                      </c:pt>
                      <c:pt idx="1">
                        <c:v>281951</c:v>
                      </c:pt>
                      <c:pt idx="2">
                        <c:v>119783</c:v>
                      </c:pt>
                    </c:numCache>
                  </c:numRef>
                </c:val>
                <c:extLst>
                  <c:ext xmlns:c16="http://schemas.microsoft.com/office/drawing/2014/chart" uri="{C3380CC4-5D6E-409C-BE32-E72D297353CC}">
                    <c16:uniqueId val="{00000000-77ED-457D-A7DC-483D6A66231B}"/>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[DashBoard_Project_2.xlsx]Mthly_PV!PivotTable3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Ride by Rideable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Mthly_PV!$B$3</c:f>
              <c:strCache>
                <c:ptCount val="1"/>
                <c:pt idx="0">
                  <c:v>Classic Bike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Mthly_PV!$A$4:$A$7</c:f>
              <c:strCache>
                <c:ptCount val="3"/>
                <c:pt idx="0">
                  <c:v>Apr</c:v>
                </c:pt>
                <c:pt idx="1">
                  <c:v>May</c:v>
                </c:pt>
                <c:pt idx="2">
                  <c:v>Jun</c:v>
                </c:pt>
              </c:strCache>
            </c:strRef>
          </c:cat>
          <c:val>
            <c:numRef>
              <c:f>Mthly_PV!$B$4:$B$7</c:f>
              <c:numCache>
                <c:formatCode>[&gt;=1000000]#,##0,,,"M";[&gt;=1000]#,##0,"K";0</c:formatCode>
                <c:ptCount val="3"/>
                <c:pt idx="0">
                  <c:v>214128</c:v>
                </c:pt>
                <c:pt idx="1">
                  <c:v>308330</c:v>
                </c:pt>
                <c:pt idx="2">
                  <c:v>433787</c:v>
                </c:pt>
              </c:numCache>
            </c:numRef>
          </c:val>
          <c:extLst>
            <c:ext xmlns:c16="http://schemas.microsoft.com/office/drawing/2014/chart" uri="{C3380CC4-5D6E-409C-BE32-E72D297353CC}">
              <c16:uniqueId val="{00000000-71A3-49EB-8447-09329377C82E}"/>
            </c:ext>
          </c:extLst>
        </c:ser>
        <c:ser>
          <c:idx val="1"/>
          <c:order val="1"/>
          <c:tx>
            <c:strRef>
              <c:f>Mthly_PV!$C$3</c:f>
              <c:strCache>
                <c:ptCount val="1"/>
                <c:pt idx="0">
                  <c:v>Docked Bike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Mthly_PV!$A$4:$A$7</c:f>
              <c:strCache>
                <c:ptCount val="3"/>
                <c:pt idx="0">
                  <c:v>Apr</c:v>
                </c:pt>
                <c:pt idx="1">
                  <c:v>May</c:v>
                </c:pt>
                <c:pt idx="2">
                  <c:v>Jun</c:v>
                </c:pt>
              </c:strCache>
            </c:strRef>
          </c:cat>
          <c:val>
            <c:numRef>
              <c:f>Mthly_PV!$C$4:$C$7</c:f>
              <c:numCache>
                <c:formatCode>[&gt;=1000000]#,##0,,,"M";[&gt;=1000]#,##0,"K";0</c:formatCode>
                <c:ptCount val="3"/>
                <c:pt idx="0">
                  <c:v>24714</c:v>
                </c:pt>
                <c:pt idx="1">
                  <c:v>43353</c:v>
                </c:pt>
                <c:pt idx="2">
                  <c:v>51716</c:v>
                </c:pt>
              </c:numCache>
            </c:numRef>
          </c:val>
          <c:extLst>
            <c:ext xmlns:c16="http://schemas.microsoft.com/office/drawing/2014/chart" uri="{C3380CC4-5D6E-409C-BE32-E72D297353CC}">
              <c16:uniqueId val="{00000001-71A3-49EB-8447-09329377C82E}"/>
            </c:ext>
          </c:extLst>
        </c:ser>
        <c:ser>
          <c:idx val="2"/>
          <c:order val="2"/>
          <c:tx>
            <c:strRef>
              <c:f>Mthly_PV!$D$3</c:f>
              <c:strCache>
                <c:ptCount val="1"/>
                <c:pt idx="0">
                  <c:v>Electric Bike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Mthly_PV!$A$4:$A$7</c:f>
              <c:strCache>
                <c:ptCount val="3"/>
                <c:pt idx="0">
                  <c:v>Apr</c:v>
                </c:pt>
                <c:pt idx="1">
                  <c:v>May</c:v>
                </c:pt>
                <c:pt idx="2">
                  <c:v>Jun</c:v>
                </c:pt>
              </c:strCache>
            </c:strRef>
          </c:cat>
          <c:val>
            <c:numRef>
              <c:f>Mthly_PV!$D$4:$D$7</c:f>
              <c:numCache>
                <c:formatCode>[&gt;=1000000]#,##0,,,"M";[&gt;=1000]#,##0,"K";0</c:formatCode>
                <c:ptCount val="3"/>
                <c:pt idx="0">
                  <c:v>59365</c:v>
                </c:pt>
                <c:pt idx="1">
                  <c:v>99311</c:v>
                </c:pt>
                <c:pt idx="2">
                  <c:v>123275</c:v>
                </c:pt>
              </c:numCache>
            </c:numRef>
          </c:val>
          <c:extLst>
            <c:ext xmlns:c16="http://schemas.microsoft.com/office/drawing/2014/chart" uri="{C3380CC4-5D6E-409C-BE32-E72D297353CC}">
              <c16:uniqueId val="{00000002-71A3-49EB-8447-09329377C82E}"/>
            </c:ext>
          </c:extLst>
        </c:ser>
        <c:dLbls>
          <c:dLblPos val="ctr"/>
          <c:showLegendKey val="0"/>
          <c:showVal val="1"/>
          <c:showCatName val="0"/>
          <c:showSerName val="0"/>
          <c:showPercent val="0"/>
          <c:showBubbleSize val="0"/>
        </c:dLbls>
        <c:gapWidth val="219"/>
        <c:overlap val="100"/>
        <c:axId val="705550688"/>
        <c:axId val="705551648"/>
      </c:barChart>
      <c:catAx>
        <c:axId val="70555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551648"/>
        <c:crosses val="autoZero"/>
        <c:auto val="1"/>
        <c:lblAlgn val="ctr"/>
        <c:lblOffset val="100"/>
        <c:noMultiLvlLbl val="0"/>
      </c:catAx>
      <c:valAx>
        <c:axId val="705551648"/>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55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[DashBoard_Project_2.xlsx]Daily_PV!PivotTable2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Ride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dLbl>
          <c:idx val="0"/>
          <c:layout>
            <c:manualLayout>
              <c:x val="2.4500044852002804E-2"/>
              <c:y val="0.19236232317038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914672199378238"/>
                  <c:h val="0.20776595856198668"/>
                </c:manualLayout>
              </c15:layout>
            </c:ext>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dLbl>
          <c:idx val="0"/>
          <c:layout>
            <c:manualLayout>
              <c:x val="2.4500044852002804E-2"/>
              <c:y val="0.19236232317038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914672199378238"/>
                  <c:h val="0.20776595856198668"/>
                </c:manualLayout>
              </c15:layout>
            </c:ext>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dLbl>
          <c:idx val="0"/>
          <c:layout>
            <c:manualLayout>
              <c:x val="2.4500044852002804E-2"/>
              <c:y val="0.1923623231703801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914672199378238"/>
                  <c:h val="0.20776595856198668"/>
                </c:manualLayout>
              </c15:layout>
            </c:ext>
          </c:extLst>
        </c:dLbl>
      </c:pivotFmt>
    </c:pivotFmts>
    <c:plotArea>
      <c:layout/>
      <c:barChart>
        <c:barDir val="col"/>
        <c:grouping val="clustered"/>
        <c:varyColors val="0"/>
        <c:ser>
          <c:idx val="0"/>
          <c:order val="0"/>
          <c:tx>
            <c:strRef>
              <c:f>Daily_PV!$F$4</c:f>
              <c:strCache>
                <c:ptCount val="1"/>
                <c:pt idx="0">
                  <c:v>Total</c:v>
                </c:pt>
              </c:strCache>
            </c:strRef>
          </c:tx>
          <c:spPr>
            <a:solidFill>
              <a:schemeClr val="bg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0-C2B3-429C-AEFE-E99CA9A15B8C}"/>
              </c:ext>
            </c:extLst>
          </c:dPt>
          <c:dLbls>
            <c:dLbl>
              <c:idx val="0"/>
              <c:layout>
                <c:manualLayout>
                  <c:x val="2.4500044852002804E-2"/>
                  <c:y val="0.1923623231703801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0914672199378238"/>
                      <c:h val="0.20776595856198668"/>
                    </c:manualLayout>
                  </c15:layout>
                </c:ext>
                <c:ext xmlns:c16="http://schemas.microsoft.com/office/drawing/2014/chart" uri="{C3380CC4-5D6E-409C-BE32-E72D297353CC}">
                  <c16:uniqueId val="{00000000-C2B3-429C-AEFE-E99CA9A15B8C}"/>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Daily_PV!$F$5</c:f>
              <c:strCache>
                <c:ptCount val="1"/>
                <c:pt idx="0">
                  <c:v>Total</c:v>
                </c:pt>
              </c:strCache>
            </c:strRef>
          </c:cat>
          <c:val>
            <c:numRef>
              <c:f>Daily_PV!$F$5</c:f>
              <c:numCache>
                <c:formatCode>General</c:formatCode>
                <c:ptCount val="1"/>
                <c:pt idx="0">
                  <c:v>1357979</c:v>
                </c:pt>
              </c:numCache>
            </c:numRef>
          </c:val>
          <c:extLst>
            <c:ext xmlns:c16="http://schemas.microsoft.com/office/drawing/2014/chart" uri="{C3380CC4-5D6E-409C-BE32-E72D297353CC}">
              <c16:uniqueId val="{00000001-C2B3-429C-AEFE-E99CA9A15B8C}"/>
            </c:ext>
          </c:extLst>
        </c:ser>
        <c:dLbls>
          <c:showLegendKey val="0"/>
          <c:showVal val="0"/>
          <c:showCatName val="0"/>
          <c:showSerName val="0"/>
          <c:showPercent val="0"/>
          <c:showBubbleSize val="0"/>
        </c:dLbls>
        <c:gapWidth val="219"/>
        <c:overlap val="-27"/>
        <c:axId val="501389232"/>
        <c:axId val="501386832"/>
      </c:barChart>
      <c:catAx>
        <c:axId val="501389232"/>
        <c:scaling>
          <c:orientation val="minMax"/>
        </c:scaling>
        <c:delete val="1"/>
        <c:axPos val="b"/>
        <c:numFmt formatCode="General" sourceLinked="1"/>
        <c:majorTickMark val="none"/>
        <c:minorTickMark val="none"/>
        <c:tickLblPos val="nextTo"/>
        <c:crossAx val="501386832"/>
        <c:crosses val="autoZero"/>
        <c:auto val="1"/>
        <c:lblAlgn val="ctr"/>
        <c:lblOffset val="100"/>
        <c:noMultiLvlLbl val="0"/>
      </c:catAx>
      <c:valAx>
        <c:axId val="501386832"/>
        <c:scaling>
          <c:orientation val="minMax"/>
        </c:scaling>
        <c:delete val="1"/>
        <c:axPos val="l"/>
        <c:numFmt formatCode="General" sourceLinked="1"/>
        <c:majorTickMark val="none"/>
        <c:minorTickMark val="none"/>
        <c:tickLblPos val="nextTo"/>
        <c:crossAx val="50138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[DashBoard_Project_2.xlsx]Daily_PV!PivotTable1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Daily_PV!$B$3</c:f>
              <c:strCache>
                <c:ptCount val="1"/>
                <c:pt idx="0">
                  <c:v>Total Ride</c:v>
                </c:pt>
              </c:strCache>
            </c:strRef>
          </c:tx>
          <c:spPr>
            <a:ln w="28575" cap="rnd">
              <a:solidFill>
                <a:schemeClr val="accent1"/>
              </a:solidFill>
              <a:round/>
            </a:ln>
            <a:effectLst/>
          </c:spPr>
          <c:marker>
            <c:symbol val="none"/>
          </c:marker>
          <c:cat>
            <c:strRef>
              <c:f>Daily_PV!$A$4:$A$94</c:f>
              <c:strCache>
                <c:ptCount val="91"/>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pt idx="30">
                  <c:v>01-May</c:v>
                </c:pt>
                <c:pt idx="31">
                  <c:v>02-May</c:v>
                </c:pt>
                <c:pt idx="32">
                  <c:v>03-May</c:v>
                </c:pt>
                <c:pt idx="33">
                  <c:v>04-May</c:v>
                </c:pt>
                <c:pt idx="34">
                  <c:v>05-May</c:v>
                </c:pt>
                <c:pt idx="35">
                  <c:v>06-May</c:v>
                </c:pt>
                <c:pt idx="36">
                  <c:v>07-May</c:v>
                </c:pt>
                <c:pt idx="37">
                  <c:v>08-May</c:v>
                </c:pt>
                <c:pt idx="38">
                  <c:v>09-May</c:v>
                </c:pt>
                <c:pt idx="39">
                  <c:v>10-May</c:v>
                </c:pt>
                <c:pt idx="40">
                  <c:v>11-May</c:v>
                </c:pt>
                <c:pt idx="41">
                  <c:v>12-May</c:v>
                </c:pt>
                <c:pt idx="42">
                  <c:v>13-May</c:v>
                </c:pt>
                <c:pt idx="43">
                  <c:v>14-May</c:v>
                </c:pt>
                <c:pt idx="44">
                  <c:v>15-May</c:v>
                </c:pt>
                <c:pt idx="45">
                  <c:v>16-May</c:v>
                </c:pt>
                <c:pt idx="46">
                  <c:v>17-May</c:v>
                </c:pt>
                <c:pt idx="47">
                  <c:v>18-May</c:v>
                </c:pt>
                <c:pt idx="48">
                  <c:v>19-May</c:v>
                </c:pt>
                <c:pt idx="49">
                  <c:v>20-May</c:v>
                </c:pt>
                <c:pt idx="50">
                  <c:v>21-May</c:v>
                </c:pt>
                <c:pt idx="51">
                  <c:v>22-May</c:v>
                </c:pt>
                <c:pt idx="52">
                  <c:v>23-May</c:v>
                </c:pt>
                <c:pt idx="53">
                  <c:v>24-May</c:v>
                </c:pt>
                <c:pt idx="54">
                  <c:v>25-May</c:v>
                </c:pt>
                <c:pt idx="55">
                  <c:v>26-May</c:v>
                </c:pt>
                <c:pt idx="56">
                  <c:v>27-May</c:v>
                </c:pt>
                <c:pt idx="57">
                  <c:v>28-May</c:v>
                </c:pt>
                <c:pt idx="58">
                  <c:v>29-May</c:v>
                </c:pt>
                <c:pt idx="59">
                  <c:v>30-May</c:v>
                </c:pt>
                <c:pt idx="60">
                  <c:v>31-May</c:v>
                </c:pt>
                <c:pt idx="61">
                  <c:v>01-Jun</c:v>
                </c:pt>
                <c:pt idx="62">
                  <c:v>02-Jun</c:v>
                </c:pt>
                <c:pt idx="63">
                  <c:v>03-Jun</c:v>
                </c:pt>
                <c:pt idx="64">
                  <c:v>04-Jun</c:v>
                </c:pt>
                <c:pt idx="65">
                  <c:v>05-Jun</c:v>
                </c:pt>
                <c:pt idx="66">
                  <c:v>06-Jun</c:v>
                </c:pt>
                <c:pt idx="67">
                  <c:v>07-Jun</c:v>
                </c:pt>
                <c:pt idx="68">
                  <c:v>08-Jun</c:v>
                </c:pt>
                <c:pt idx="69">
                  <c:v>09-Jun</c:v>
                </c:pt>
                <c:pt idx="70">
                  <c:v>10-Jun</c:v>
                </c:pt>
                <c:pt idx="71">
                  <c:v>11-Jun</c:v>
                </c:pt>
                <c:pt idx="72">
                  <c:v>12-Jun</c:v>
                </c:pt>
                <c:pt idx="73">
                  <c:v>13-Jun</c:v>
                </c:pt>
                <c:pt idx="74">
                  <c:v>14-Jun</c:v>
                </c:pt>
                <c:pt idx="75">
                  <c:v>15-Jun</c:v>
                </c:pt>
                <c:pt idx="76">
                  <c:v>16-Jun</c:v>
                </c:pt>
                <c:pt idx="77">
                  <c:v>17-Jun</c:v>
                </c:pt>
                <c:pt idx="78">
                  <c:v>18-Jun</c:v>
                </c:pt>
                <c:pt idx="79">
                  <c:v>19-Jun</c:v>
                </c:pt>
                <c:pt idx="80">
                  <c:v>20-Jun</c:v>
                </c:pt>
                <c:pt idx="81">
                  <c:v>21-Jun</c:v>
                </c:pt>
                <c:pt idx="82">
                  <c:v>22-Jun</c:v>
                </c:pt>
                <c:pt idx="83">
                  <c:v>23-Jun</c:v>
                </c:pt>
                <c:pt idx="84">
                  <c:v>24-Jun</c:v>
                </c:pt>
                <c:pt idx="85">
                  <c:v>25-Jun</c:v>
                </c:pt>
                <c:pt idx="86">
                  <c:v>26-Jun</c:v>
                </c:pt>
                <c:pt idx="87">
                  <c:v>27-Jun</c:v>
                </c:pt>
                <c:pt idx="88">
                  <c:v>28-Jun</c:v>
                </c:pt>
                <c:pt idx="89">
                  <c:v>29-Jun</c:v>
                </c:pt>
                <c:pt idx="90">
                  <c:v>30-Jun</c:v>
                </c:pt>
              </c:strCache>
            </c:strRef>
          </c:cat>
          <c:val>
            <c:numRef>
              <c:f>Daily_PV!$B$4:$B$94</c:f>
              <c:numCache>
                <c:formatCode>General</c:formatCode>
                <c:ptCount val="91"/>
                <c:pt idx="0">
                  <c:v>4812</c:v>
                </c:pt>
                <c:pt idx="1">
                  <c:v>8217</c:v>
                </c:pt>
                <c:pt idx="2">
                  <c:v>17934</c:v>
                </c:pt>
                <c:pt idx="3">
                  <c:v>15919</c:v>
                </c:pt>
                <c:pt idx="4">
                  <c:v>10248</c:v>
                </c:pt>
                <c:pt idx="5">
                  <c:v>15543</c:v>
                </c:pt>
                <c:pt idx="6">
                  <c:v>14058</c:v>
                </c:pt>
                <c:pt idx="7">
                  <c:v>4645</c:v>
                </c:pt>
                <c:pt idx="8">
                  <c:v>11047</c:v>
                </c:pt>
                <c:pt idx="9">
                  <c:v>4764</c:v>
                </c:pt>
                <c:pt idx="10">
                  <c:v>9813</c:v>
                </c:pt>
                <c:pt idx="11">
                  <c:v>9884</c:v>
                </c:pt>
                <c:pt idx="12">
                  <c:v>8937</c:v>
                </c:pt>
                <c:pt idx="13">
                  <c:v>7373</c:v>
                </c:pt>
                <c:pt idx="14">
                  <c:v>7613</c:v>
                </c:pt>
                <c:pt idx="15">
                  <c:v>9728</c:v>
                </c:pt>
                <c:pt idx="16">
                  <c:v>12548</c:v>
                </c:pt>
                <c:pt idx="17">
                  <c:v>11891</c:v>
                </c:pt>
                <c:pt idx="18">
                  <c:v>5883</c:v>
                </c:pt>
                <c:pt idx="19">
                  <c:v>5561</c:v>
                </c:pt>
                <c:pt idx="20">
                  <c:v>5671</c:v>
                </c:pt>
                <c:pt idx="21">
                  <c:v>9492</c:v>
                </c:pt>
                <c:pt idx="22">
                  <c:v>11813</c:v>
                </c:pt>
                <c:pt idx="23">
                  <c:v>13328</c:v>
                </c:pt>
                <c:pt idx="24">
                  <c:v>7717</c:v>
                </c:pt>
                <c:pt idx="25">
                  <c:v>12754</c:v>
                </c:pt>
                <c:pt idx="26">
                  <c:v>16214</c:v>
                </c:pt>
                <c:pt idx="27">
                  <c:v>5780</c:v>
                </c:pt>
                <c:pt idx="28">
                  <c:v>8443</c:v>
                </c:pt>
                <c:pt idx="29">
                  <c:v>10577</c:v>
                </c:pt>
                <c:pt idx="30">
                  <c:v>21690</c:v>
                </c:pt>
                <c:pt idx="31">
                  <c:v>22206</c:v>
                </c:pt>
                <c:pt idx="32">
                  <c:v>8531</c:v>
                </c:pt>
                <c:pt idx="33">
                  <c:v>7884</c:v>
                </c:pt>
                <c:pt idx="34">
                  <c:v>10693</c:v>
                </c:pt>
                <c:pt idx="35">
                  <c:v>8006</c:v>
                </c:pt>
                <c:pt idx="36">
                  <c:v>11233</c:v>
                </c:pt>
                <c:pt idx="37">
                  <c:v>12929</c:v>
                </c:pt>
                <c:pt idx="38">
                  <c:v>6071</c:v>
                </c:pt>
                <c:pt idx="39">
                  <c:v>7876</c:v>
                </c:pt>
                <c:pt idx="40">
                  <c:v>9380</c:v>
                </c:pt>
                <c:pt idx="41">
                  <c:v>11428</c:v>
                </c:pt>
                <c:pt idx="42">
                  <c:v>14119</c:v>
                </c:pt>
                <c:pt idx="43">
                  <c:v>17265</c:v>
                </c:pt>
                <c:pt idx="44">
                  <c:v>13049</c:v>
                </c:pt>
                <c:pt idx="45">
                  <c:v>20364</c:v>
                </c:pt>
                <c:pt idx="46">
                  <c:v>12795</c:v>
                </c:pt>
                <c:pt idx="47">
                  <c:v>10549</c:v>
                </c:pt>
                <c:pt idx="48">
                  <c:v>13406</c:v>
                </c:pt>
                <c:pt idx="49">
                  <c:v>17304</c:v>
                </c:pt>
                <c:pt idx="50">
                  <c:v>20889</c:v>
                </c:pt>
                <c:pt idx="51">
                  <c:v>30104</c:v>
                </c:pt>
                <c:pt idx="52">
                  <c:v>18677</c:v>
                </c:pt>
                <c:pt idx="53">
                  <c:v>16910</c:v>
                </c:pt>
                <c:pt idx="54">
                  <c:v>15846</c:v>
                </c:pt>
                <c:pt idx="55">
                  <c:v>17105</c:v>
                </c:pt>
                <c:pt idx="56">
                  <c:v>9676</c:v>
                </c:pt>
                <c:pt idx="57">
                  <c:v>5682</c:v>
                </c:pt>
                <c:pt idx="58">
                  <c:v>18111</c:v>
                </c:pt>
                <c:pt idx="59">
                  <c:v>22761</c:v>
                </c:pt>
                <c:pt idx="60">
                  <c:v>18455</c:v>
                </c:pt>
                <c:pt idx="61">
                  <c:v>16354</c:v>
                </c:pt>
                <c:pt idx="62">
                  <c:v>17081</c:v>
                </c:pt>
                <c:pt idx="63">
                  <c:v>19631</c:v>
                </c:pt>
                <c:pt idx="64">
                  <c:v>21521</c:v>
                </c:pt>
                <c:pt idx="65">
                  <c:v>30320</c:v>
                </c:pt>
                <c:pt idx="66">
                  <c:v>24527</c:v>
                </c:pt>
                <c:pt idx="67">
                  <c:v>14793</c:v>
                </c:pt>
                <c:pt idx="68">
                  <c:v>18815</c:v>
                </c:pt>
                <c:pt idx="69">
                  <c:v>20676</c:v>
                </c:pt>
                <c:pt idx="70">
                  <c:v>21281</c:v>
                </c:pt>
                <c:pt idx="71">
                  <c:v>24869</c:v>
                </c:pt>
                <c:pt idx="72">
                  <c:v>28841</c:v>
                </c:pt>
                <c:pt idx="73">
                  <c:v>29919</c:v>
                </c:pt>
                <c:pt idx="74">
                  <c:v>19366</c:v>
                </c:pt>
                <c:pt idx="75">
                  <c:v>20333</c:v>
                </c:pt>
                <c:pt idx="76">
                  <c:v>21539</c:v>
                </c:pt>
                <c:pt idx="77">
                  <c:v>21771</c:v>
                </c:pt>
                <c:pt idx="78">
                  <c:v>23542</c:v>
                </c:pt>
                <c:pt idx="79">
                  <c:v>31261</c:v>
                </c:pt>
                <c:pt idx="80">
                  <c:v>18388</c:v>
                </c:pt>
                <c:pt idx="81">
                  <c:v>17988</c:v>
                </c:pt>
                <c:pt idx="82">
                  <c:v>20929</c:v>
                </c:pt>
                <c:pt idx="83">
                  <c:v>19720</c:v>
                </c:pt>
                <c:pt idx="84">
                  <c:v>12373</c:v>
                </c:pt>
                <c:pt idx="85">
                  <c:v>13415</c:v>
                </c:pt>
                <c:pt idx="86">
                  <c:v>11694</c:v>
                </c:pt>
                <c:pt idx="87">
                  <c:v>24158</c:v>
                </c:pt>
                <c:pt idx="88">
                  <c:v>13383</c:v>
                </c:pt>
                <c:pt idx="89">
                  <c:v>14631</c:v>
                </c:pt>
                <c:pt idx="90">
                  <c:v>15659</c:v>
                </c:pt>
              </c:numCache>
            </c:numRef>
          </c:val>
          <c:smooth val="0"/>
          <c:extLst>
            <c:ext xmlns:c16="http://schemas.microsoft.com/office/drawing/2014/chart" uri="{C3380CC4-5D6E-409C-BE32-E72D297353CC}">
              <c16:uniqueId val="{00000000-7265-431A-9E01-32BCC171C707}"/>
            </c:ext>
          </c:extLst>
        </c:ser>
        <c:ser>
          <c:idx val="1"/>
          <c:order val="1"/>
          <c:tx>
            <c:strRef>
              <c:f>Daily_PV!$C$3</c:f>
              <c:strCache>
                <c:ptCount val="1"/>
                <c:pt idx="0">
                  <c:v>MemberCount</c:v>
                </c:pt>
              </c:strCache>
            </c:strRef>
          </c:tx>
          <c:spPr>
            <a:ln w="28575" cap="rnd">
              <a:solidFill>
                <a:schemeClr val="accent2"/>
              </a:solidFill>
              <a:round/>
            </a:ln>
            <a:effectLst/>
          </c:spPr>
          <c:marker>
            <c:symbol val="none"/>
          </c:marker>
          <c:cat>
            <c:strRef>
              <c:f>Daily_PV!$A$4:$A$94</c:f>
              <c:strCache>
                <c:ptCount val="91"/>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pt idx="30">
                  <c:v>01-May</c:v>
                </c:pt>
                <c:pt idx="31">
                  <c:v>02-May</c:v>
                </c:pt>
                <c:pt idx="32">
                  <c:v>03-May</c:v>
                </c:pt>
                <c:pt idx="33">
                  <c:v>04-May</c:v>
                </c:pt>
                <c:pt idx="34">
                  <c:v>05-May</c:v>
                </c:pt>
                <c:pt idx="35">
                  <c:v>06-May</c:v>
                </c:pt>
                <c:pt idx="36">
                  <c:v>07-May</c:v>
                </c:pt>
                <c:pt idx="37">
                  <c:v>08-May</c:v>
                </c:pt>
                <c:pt idx="38">
                  <c:v>09-May</c:v>
                </c:pt>
                <c:pt idx="39">
                  <c:v>10-May</c:v>
                </c:pt>
                <c:pt idx="40">
                  <c:v>11-May</c:v>
                </c:pt>
                <c:pt idx="41">
                  <c:v>12-May</c:v>
                </c:pt>
                <c:pt idx="42">
                  <c:v>13-May</c:v>
                </c:pt>
                <c:pt idx="43">
                  <c:v>14-May</c:v>
                </c:pt>
                <c:pt idx="44">
                  <c:v>15-May</c:v>
                </c:pt>
                <c:pt idx="45">
                  <c:v>16-May</c:v>
                </c:pt>
                <c:pt idx="46">
                  <c:v>17-May</c:v>
                </c:pt>
                <c:pt idx="47">
                  <c:v>18-May</c:v>
                </c:pt>
                <c:pt idx="48">
                  <c:v>19-May</c:v>
                </c:pt>
                <c:pt idx="49">
                  <c:v>20-May</c:v>
                </c:pt>
                <c:pt idx="50">
                  <c:v>21-May</c:v>
                </c:pt>
                <c:pt idx="51">
                  <c:v>22-May</c:v>
                </c:pt>
                <c:pt idx="52">
                  <c:v>23-May</c:v>
                </c:pt>
                <c:pt idx="53">
                  <c:v>24-May</c:v>
                </c:pt>
                <c:pt idx="54">
                  <c:v>25-May</c:v>
                </c:pt>
                <c:pt idx="55">
                  <c:v>26-May</c:v>
                </c:pt>
                <c:pt idx="56">
                  <c:v>27-May</c:v>
                </c:pt>
                <c:pt idx="57">
                  <c:v>28-May</c:v>
                </c:pt>
                <c:pt idx="58">
                  <c:v>29-May</c:v>
                </c:pt>
                <c:pt idx="59">
                  <c:v>30-May</c:v>
                </c:pt>
                <c:pt idx="60">
                  <c:v>31-May</c:v>
                </c:pt>
                <c:pt idx="61">
                  <c:v>01-Jun</c:v>
                </c:pt>
                <c:pt idx="62">
                  <c:v>02-Jun</c:v>
                </c:pt>
                <c:pt idx="63">
                  <c:v>03-Jun</c:v>
                </c:pt>
                <c:pt idx="64">
                  <c:v>04-Jun</c:v>
                </c:pt>
                <c:pt idx="65">
                  <c:v>05-Jun</c:v>
                </c:pt>
                <c:pt idx="66">
                  <c:v>06-Jun</c:v>
                </c:pt>
                <c:pt idx="67">
                  <c:v>07-Jun</c:v>
                </c:pt>
                <c:pt idx="68">
                  <c:v>08-Jun</c:v>
                </c:pt>
                <c:pt idx="69">
                  <c:v>09-Jun</c:v>
                </c:pt>
                <c:pt idx="70">
                  <c:v>10-Jun</c:v>
                </c:pt>
                <c:pt idx="71">
                  <c:v>11-Jun</c:v>
                </c:pt>
                <c:pt idx="72">
                  <c:v>12-Jun</c:v>
                </c:pt>
                <c:pt idx="73">
                  <c:v>13-Jun</c:v>
                </c:pt>
                <c:pt idx="74">
                  <c:v>14-Jun</c:v>
                </c:pt>
                <c:pt idx="75">
                  <c:v>15-Jun</c:v>
                </c:pt>
                <c:pt idx="76">
                  <c:v>16-Jun</c:v>
                </c:pt>
                <c:pt idx="77">
                  <c:v>17-Jun</c:v>
                </c:pt>
                <c:pt idx="78">
                  <c:v>18-Jun</c:v>
                </c:pt>
                <c:pt idx="79">
                  <c:v>19-Jun</c:v>
                </c:pt>
                <c:pt idx="80">
                  <c:v>20-Jun</c:v>
                </c:pt>
                <c:pt idx="81">
                  <c:v>21-Jun</c:v>
                </c:pt>
                <c:pt idx="82">
                  <c:v>22-Jun</c:v>
                </c:pt>
                <c:pt idx="83">
                  <c:v>23-Jun</c:v>
                </c:pt>
                <c:pt idx="84">
                  <c:v>24-Jun</c:v>
                </c:pt>
                <c:pt idx="85">
                  <c:v>25-Jun</c:v>
                </c:pt>
                <c:pt idx="86">
                  <c:v>26-Jun</c:v>
                </c:pt>
                <c:pt idx="87">
                  <c:v>27-Jun</c:v>
                </c:pt>
                <c:pt idx="88">
                  <c:v>28-Jun</c:v>
                </c:pt>
                <c:pt idx="89">
                  <c:v>29-Jun</c:v>
                </c:pt>
                <c:pt idx="90">
                  <c:v>30-Jun</c:v>
                </c:pt>
              </c:strCache>
            </c:strRef>
          </c:cat>
          <c:val>
            <c:numRef>
              <c:f>Daily_PV!$C$4:$C$94</c:f>
              <c:numCache>
                <c:formatCode>General</c:formatCode>
                <c:ptCount val="91"/>
                <c:pt idx="0">
                  <c:v>3554</c:v>
                </c:pt>
                <c:pt idx="1">
                  <c:v>5065</c:v>
                </c:pt>
                <c:pt idx="2">
                  <c:v>7685</c:v>
                </c:pt>
                <c:pt idx="3">
                  <c:v>6671</c:v>
                </c:pt>
                <c:pt idx="4">
                  <c:v>6185</c:v>
                </c:pt>
                <c:pt idx="5">
                  <c:v>8573</c:v>
                </c:pt>
                <c:pt idx="6">
                  <c:v>8316</c:v>
                </c:pt>
                <c:pt idx="7">
                  <c:v>3385</c:v>
                </c:pt>
                <c:pt idx="8">
                  <c:v>6526</c:v>
                </c:pt>
                <c:pt idx="9">
                  <c:v>2838</c:v>
                </c:pt>
                <c:pt idx="10">
                  <c:v>5218</c:v>
                </c:pt>
                <c:pt idx="11">
                  <c:v>6451</c:v>
                </c:pt>
                <c:pt idx="12">
                  <c:v>6300</c:v>
                </c:pt>
                <c:pt idx="13">
                  <c:v>5472</c:v>
                </c:pt>
                <c:pt idx="14">
                  <c:v>5445</c:v>
                </c:pt>
                <c:pt idx="15">
                  <c:v>6201</c:v>
                </c:pt>
                <c:pt idx="16">
                  <c:v>6287</c:v>
                </c:pt>
                <c:pt idx="17">
                  <c:v>6128</c:v>
                </c:pt>
                <c:pt idx="18">
                  <c:v>4396</c:v>
                </c:pt>
                <c:pt idx="19">
                  <c:v>4268</c:v>
                </c:pt>
                <c:pt idx="20">
                  <c:v>4350</c:v>
                </c:pt>
                <c:pt idx="21">
                  <c:v>6370</c:v>
                </c:pt>
                <c:pt idx="22">
                  <c:v>7206</c:v>
                </c:pt>
                <c:pt idx="23">
                  <c:v>6753</c:v>
                </c:pt>
                <c:pt idx="24">
                  <c:v>4455</c:v>
                </c:pt>
                <c:pt idx="25">
                  <c:v>7678</c:v>
                </c:pt>
                <c:pt idx="26">
                  <c:v>9185</c:v>
                </c:pt>
                <c:pt idx="27">
                  <c:v>4396</c:v>
                </c:pt>
                <c:pt idx="28">
                  <c:v>5845</c:v>
                </c:pt>
                <c:pt idx="29">
                  <c:v>6585</c:v>
                </c:pt>
                <c:pt idx="30">
                  <c:v>8851</c:v>
                </c:pt>
                <c:pt idx="31">
                  <c:v>8657</c:v>
                </c:pt>
                <c:pt idx="32">
                  <c:v>5508</c:v>
                </c:pt>
                <c:pt idx="33">
                  <c:v>5690</c:v>
                </c:pt>
                <c:pt idx="34">
                  <c:v>7244</c:v>
                </c:pt>
                <c:pt idx="35">
                  <c:v>5550</c:v>
                </c:pt>
                <c:pt idx="36">
                  <c:v>6828</c:v>
                </c:pt>
                <c:pt idx="37">
                  <c:v>6428</c:v>
                </c:pt>
                <c:pt idx="38">
                  <c:v>3454</c:v>
                </c:pt>
                <c:pt idx="39">
                  <c:v>5463</c:v>
                </c:pt>
                <c:pt idx="40">
                  <c:v>6538</c:v>
                </c:pt>
                <c:pt idx="41">
                  <c:v>7683</c:v>
                </c:pt>
                <c:pt idx="42">
                  <c:v>8630</c:v>
                </c:pt>
                <c:pt idx="43">
                  <c:v>9208</c:v>
                </c:pt>
                <c:pt idx="44">
                  <c:v>5932</c:v>
                </c:pt>
                <c:pt idx="45">
                  <c:v>8466</c:v>
                </c:pt>
                <c:pt idx="46">
                  <c:v>7823</c:v>
                </c:pt>
                <c:pt idx="47">
                  <c:v>6850</c:v>
                </c:pt>
                <c:pt idx="48">
                  <c:v>8623</c:v>
                </c:pt>
                <c:pt idx="49">
                  <c:v>9753</c:v>
                </c:pt>
                <c:pt idx="50">
                  <c:v>10288</c:v>
                </c:pt>
                <c:pt idx="51">
                  <c:v>10985</c:v>
                </c:pt>
                <c:pt idx="52">
                  <c:v>7703</c:v>
                </c:pt>
                <c:pt idx="53">
                  <c:v>9501</c:v>
                </c:pt>
                <c:pt idx="54">
                  <c:v>9589</c:v>
                </c:pt>
                <c:pt idx="55">
                  <c:v>10155</c:v>
                </c:pt>
                <c:pt idx="56">
                  <c:v>6586</c:v>
                </c:pt>
                <c:pt idx="57">
                  <c:v>3786</c:v>
                </c:pt>
                <c:pt idx="58">
                  <c:v>7460</c:v>
                </c:pt>
                <c:pt idx="59">
                  <c:v>7667</c:v>
                </c:pt>
                <c:pt idx="60">
                  <c:v>7266</c:v>
                </c:pt>
                <c:pt idx="61">
                  <c:v>9436</c:v>
                </c:pt>
                <c:pt idx="62">
                  <c:v>10354</c:v>
                </c:pt>
                <c:pt idx="63">
                  <c:v>10939</c:v>
                </c:pt>
                <c:pt idx="64">
                  <c:v>10718</c:v>
                </c:pt>
                <c:pt idx="65">
                  <c:v>11207</c:v>
                </c:pt>
                <c:pt idx="66">
                  <c:v>9675</c:v>
                </c:pt>
                <c:pt idx="67">
                  <c:v>8579</c:v>
                </c:pt>
                <c:pt idx="68">
                  <c:v>10925</c:v>
                </c:pt>
                <c:pt idx="69">
                  <c:v>11794</c:v>
                </c:pt>
                <c:pt idx="70">
                  <c:v>11581</c:v>
                </c:pt>
                <c:pt idx="71">
                  <c:v>11696</c:v>
                </c:pt>
                <c:pt idx="72">
                  <c:v>10774</c:v>
                </c:pt>
                <c:pt idx="73">
                  <c:v>11020</c:v>
                </c:pt>
                <c:pt idx="74">
                  <c:v>10418</c:v>
                </c:pt>
                <c:pt idx="75">
                  <c:v>11467</c:v>
                </c:pt>
                <c:pt idx="76">
                  <c:v>12205</c:v>
                </c:pt>
                <c:pt idx="77">
                  <c:v>11732</c:v>
                </c:pt>
                <c:pt idx="78">
                  <c:v>10922</c:v>
                </c:pt>
                <c:pt idx="79">
                  <c:v>11579</c:v>
                </c:pt>
                <c:pt idx="80">
                  <c:v>7474</c:v>
                </c:pt>
                <c:pt idx="81">
                  <c:v>10300</c:v>
                </c:pt>
                <c:pt idx="82">
                  <c:v>11752</c:v>
                </c:pt>
                <c:pt idx="83">
                  <c:v>11415</c:v>
                </c:pt>
                <c:pt idx="84">
                  <c:v>7671</c:v>
                </c:pt>
                <c:pt idx="85">
                  <c:v>6920</c:v>
                </c:pt>
                <c:pt idx="86">
                  <c:v>5288</c:v>
                </c:pt>
                <c:pt idx="87">
                  <c:v>10003</c:v>
                </c:pt>
                <c:pt idx="88">
                  <c:v>8126</c:v>
                </c:pt>
                <c:pt idx="89">
                  <c:v>8826</c:v>
                </c:pt>
                <c:pt idx="90">
                  <c:v>9790</c:v>
                </c:pt>
              </c:numCache>
            </c:numRef>
          </c:val>
          <c:smooth val="0"/>
          <c:extLst>
            <c:ext xmlns:c16="http://schemas.microsoft.com/office/drawing/2014/chart" uri="{C3380CC4-5D6E-409C-BE32-E72D297353CC}">
              <c16:uniqueId val="{00000001-7265-431A-9E01-32BCC171C707}"/>
            </c:ext>
          </c:extLst>
        </c:ser>
        <c:ser>
          <c:idx val="2"/>
          <c:order val="2"/>
          <c:tx>
            <c:strRef>
              <c:f>Daily_PV!$D$3</c:f>
              <c:strCache>
                <c:ptCount val="1"/>
                <c:pt idx="0">
                  <c:v>CasualCount</c:v>
                </c:pt>
              </c:strCache>
            </c:strRef>
          </c:tx>
          <c:spPr>
            <a:ln w="28575" cap="rnd">
              <a:solidFill>
                <a:schemeClr val="accent3"/>
              </a:solidFill>
              <a:round/>
            </a:ln>
            <a:effectLst/>
          </c:spPr>
          <c:marker>
            <c:symbol val="none"/>
          </c:marker>
          <c:cat>
            <c:strRef>
              <c:f>Daily_PV!$A$4:$A$94</c:f>
              <c:strCache>
                <c:ptCount val="91"/>
                <c:pt idx="0">
                  <c:v>01-Apr</c:v>
                </c:pt>
                <c:pt idx="1">
                  <c:v>02-Apr</c:v>
                </c:pt>
                <c:pt idx="2">
                  <c:v>03-Apr</c:v>
                </c:pt>
                <c:pt idx="3">
                  <c:v>04-Apr</c:v>
                </c:pt>
                <c:pt idx="4">
                  <c:v>05-Apr</c:v>
                </c:pt>
                <c:pt idx="5">
                  <c:v>06-Apr</c:v>
                </c:pt>
                <c:pt idx="6">
                  <c:v>07-Apr</c:v>
                </c:pt>
                <c:pt idx="7">
                  <c:v>08-Apr</c:v>
                </c:pt>
                <c:pt idx="8">
                  <c:v>09-Apr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pt idx="30">
                  <c:v>01-May</c:v>
                </c:pt>
                <c:pt idx="31">
                  <c:v>02-May</c:v>
                </c:pt>
                <c:pt idx="32">
                  <c:v>03-May</c:v>
                </c:pt>
                <c:pt idx="33">
                  <c:v>04-May</c:v>
                </c:pt>
                <c:pt idx="34">
                  <c:v>05-May</c:v>
                </c:pt>
                <c:pt idx="35">
                  <c:v>06-May</c:v>
                </c:pt>
                <c:pt idx="36">
                  <c:v>07-May</c:v>
                </c:pt>
                <c:pt idx="37">
                  <c:v>08-May</c:v>
                </c:pt>
                <c:pt idx="38">
                  <c:v>09-May</c:v>
                </c:pt>
                <c:pt idx="39">
                  <c:v>10-May</c:v>
                </c:pt>
                <c:pt idx="40">
                  <c:v>11-May</c:v>
                </c:pt>
                <c:pt idx="41">
                  <c:v>12-May</c:v>
                </c:pt>
                <c:pt idx="42">
                  <c:v>13-May</c:v>
                </c:pt>
                <c:pt idx="43">
                  <c:v>14-May</c:v>
                </c:pt>
                <c:pt idx="44">
                  <c:v>15-May</c:v>
                </c:pt>
                <c:pt idx="45">
                  <c:v>16-May</c:v>
                </c:pt>
                <c:pt idx="46">
                  <c:v>17-May</c:v>
                </c:pt>
                <c:pt idx="47">
                  <c:v>18-May</c:v>
                </c:pt>
                <c:pt idx="48">
                  <c:v>19-May</c:v>
                </c:pt>
                <c:pt idx="49">
                  <c:v>20-May</c:v>
                </c:pt>
                <c:pt idx="50">
                  <c:v>21-May</c:v>
                </c:pt>
                <c:pt idx="51">
                  <c:v>22-May</c:v>
                </c:pt>
                <c:pt idx="52">
                  <c:v>23-May</c:v>
                </c:pt>
                <c:pt idx="53">
                  <c:v>24-May</c:v>
                </c:pt>
                <c:pt idx="54">
                  <c:v>25-May</c:v>
                </c:pt>
                <c:pt idx="55">
                  <c:v>26-May</c:v>
                </c:pt>
                <c:pt idx="56">
                  <c:v>27-May</c:v>
                </c:pt>
                <c:pt idx="57">
                  <c:v>28-May</c:v>
                </c:pt>
                <c:pt idx="58">
                  <c:v>29-May</c:v>
                </c:pt>
                <c:pt idx="59">
                  <c:v>30-May</c:v>
                </c:pt>
                <c:pt idx="60">
                  <c:v>31-May</c:v>
                </c:pt>
                <c:pt idx="61">
                  <c:v>01-Jun</c:v>
                </c:pt>
                <c:pt idx="62">
                  <c:v>02-Jun</c:v>
                </c:pt>
                <c:pt idx="63">
                  <c:v>03-Jun</c:v>
                </c:pt>
                <c:pt idx="64">
                  <c:v>04-Jun</c:v>
                </c:pt>
                <c:pt idx="65">
                  <c:v>05-Jun</c:v>
                </c:pt>
                <c:pt idx="66">
                  <c:v>06-Jun</c:v>
                </c:pt>
                <c:pt idx="67">
                  <c:v>07-Jun</c:v>
                </c:pt>
                <c:pt idx="68">
                  <c:v>08-Jun</c:v>
                </c:pt>
                <c:pt idx="69">
                  <c:v>09-Jun</c:v>
                </c:pt>
                <c:pt idx="70">
                  <c:v>10-Jun</c:v>
                </c:pt>
                <c:pt idx="71">
                  <c:v>11-Jun</c:v>
                </c:pt>
                <c:pt idx="72">
                  <c:v>12-Jun</c:v>
                </c:pt>
                <c:pt idx="73">
                  <c:v>13-Jun</c:v>
                </c:pt>
                <c:pt idx="74">
                  <c:v>14-Jun</c:v>
                </c:pt>
                <c:pt idx="75">
                  <c:v>15-Jun</c:v>
                </c:pt>
                <c:pt idx="76">
                  <c:v>16-Jun</c:v>
                </c:pt>
                <c:pt idx="77">
                  <c:v>17-Jun</c:v>
                </c:pt>
                <c:pt idx="78">
                  <c:v>18-Jun</c:v>
                </c:pt>
                <c:pt idx="79">
                  <c:v>19-Jun</c:v>
                </c:pt>
                <c:pt idx="80">
                  <c:v>20-Jun</c:v>
                </c:pt>
                <c:pt idx="81">
                  <c:v>21-Jun</c:v>
                </c:pt>
                <c:pt idx="82">
                  <c:v>22-Jun</c:v>
                </c:pt>
                <c:pt idx="83">
                  <c:v>23-Jun</c:v>
                </c:pt>
                <c:pt idx="84">
                  <c:v>24-Jun</c:v>
                </c:pt>
                <c:pt idx="85">
                  <c:v>25-Jun</c:v>
                </c:pt>
                <c:pt idx="86">
                  <c:v>26-Jun</c:v>
                </c:pt>
                <c:pt idx="87">
                  <c:v>27-Jun</c:v>
                </c:pt>
                <c:pt idx="88">
                  <c:v>28-Jun</c:v>
                </c:pt>
                <c:pt idx="89">
                  <c:v>29-Jun</c:v>
                </c:pt>
                <c:pt idx="90">
                  <c:v>30-Jun</c:v>
                </c:pt>
              </c:strCache>
            </c:strRef>
          </c:cat>
          <c:val>
            <c:numRef>
              <c:f>Daily_PV!$D$4:$D$94</c:f>
              <c:numCache>
                <c:formatCode>General</c:formatCode>
                <c:ptCount val="91"/>
                <c:pt idx="0">
                  <c:v>1258</c:v>
                </c:pt>
                <c:pt idx="1">
                  <c:v>3152</c:v>
                </c:pt>
                <c:pt idx="2">
                  <c:v>10249</c:v>
                </c:pt>
                <c:pt idx="3">
                  <c:v>9248</c:v>
                </c:pt>
                <c:pt idx="4">
                  <c:v>4063</c:v>
                </c:pt>
                <c:pt idx="5">
                  <c:v>6970</c:v>
                </c:pt>
                <c:pt idx="6">
                  <c:v>5742</c:v>
                </c:pt>
                <c:pt idx="7">
                  <c:v>1260</c:v>
                </c:pt>
                <c:pt idx="8">
                  <c:v>4521</c:v>
                </c:pt>
                <c:pt idx="9">
                  <c:v>1926</c:v>
                </c:pt>
                <c:pt idx="10">
                  <c:v>4595</c:v>
                </c:pt>
                <c:pt idx="11">
                  <c:v>3433</c:v>
                </c:pt>
                <c:pt idx="12">
                  <c:v>2637</c:v>
                </c:pt>
                <c:pt idx="13">
                  <c:v>1901</c:v>
                </c:pt>
                <c:pt idx="14">
                  <c:v>2168</c:v>
                </c:pt>
                <c:pt idx="15">
                  <c:v>3527</c:v>
                </c:pt>
                <c:pt idx="16">
                  <c:v>6261</c:v>
                </c:pt>
                <c:pt idx="17">
                  <c:v>5763</c:v>
                </c:pt>
                <c:pt idx="18">
                  <c:v>1487</c:v>
                </c:pt>
                <c:pt idx="19">
                  <c:v>1293</c:v>
                </c:pt>
                <c:pt idx="20">
                  <c:v>1321</c:v>
                </c:pt>
                <c:pt idx="21">
                  <c:v>3122</c:v>
                </c:pt>
                <c:pt idx="22">
                  <c:v>4607</c:v>
                </c:pt>
                <c:pt idx="23">
                  <c:v>6575</c:v>
                </c:pt>
                <c:pt idx="24">
                  <c:v>3262</c:v>
                </c:pt>
                <c:pt idx="25">
                  <c:v>5076</c:v>
                </c:pt>
                <c:pt idx="26">
                  <c:v>7029</c:v>
                </c:pt>
                <c:pt idx="27">
                  <c:v>1384</c:v>
                </c:pt>
                <c:pt idx="28">
                  <c:v>2598</c:v>
                </c:pt>
                <c:pt idx="29">
                  <c:v>3992</c:v>
                </c:pt>
                <c:pt idx="30">
                  <c:v>12839</c:v>
                </c:pt>
                <c:pt idx="31">
                  <c:v>13549</c:v>
                </c:pt>
                <c:pt idx="32">
                  <c:v>3023</c:v>
                </c:pt>
                <c:pt idx="33">
                  <c:v>2194</c:v>
                </c:pt>
                <c:pt idx="34">
                  <c:v>3449</c:v>
                </c:pt>
                <c:pt idx="35">
                  <c:v>2456</c:v>
                </c:pt>
                <c:pt idx="36">
                  <c:v>4405</c:v>
                </c:pt>
                <c:pt idx="37">
                  <c:v>6501</c:v>
                </c:pt>
                <c:pt idx="38">
                  <c:v>2617</c:v>
                </c:pt>
                <c:pt idx="39">
                  <c:v>2413</c:v>
                </c:pt>
                <c:pt idx="40">
                  <c:v>2842</c:v>
                </c:pt>
                <c:pt idx="41">
                  <c:v>3745</c:v>
                </c:pt>
                <c:pt idx="42">
                  <c:v>5489</c:v>
                </c:pt>
                <c:pt idx="43">
                  <c:v>8057</c:v>
                </c:pt>
                <c:pt idx="44">
                  <c:v>7117</c:v>
                </c:pt>
                <c:pt idx="45">
                  <c:v>11898</c:v>
                </c:pt>
                <c:pt idx="46">
                  <c:v>4972</c:v>
                </c:pt>
                <c:pt idx="47">
                  <c:v>3699</c:v>
                </c:pt>
                <c:pt idx="48">
                  <c:v>4783</c:v>
                </c:pt>
                <c:pt idx="49">
                  <c:v>7551</c:v>
                </c:pt>
                <c:pt idx="50">
                  <c:v>10601</c:v>
                </c:pt>
                <c:pt idx="51">
                  <c:v>19119</c:v>
                </c:pt>
                <c:pt idx="52">
                  <c:v>10974</c:v>
                </c:pt>
                <c:pt idx="53">
                  <c:v>7409</c:v>
                </c:pt>
                <c:pt idx="54">
                  <c:v>6257</c:v>
                </c:pt>
                <c:pt idx="55">
                  <c:v>6950</c:v>
                </c:pt>
                <c:pt idx="56">
                  <c:v>3090</c:v>
                </c:pt>
                <c:pt idx="57">
                  <c:v>1896</c:v>
                </c:pt>
                <c:pt idx="58">
                  <c:v>10651</c:v>
                </c:pt>
                <c:pt idx="59">
                  <c:v>15094</c:v>
                </c:pt>
                <c:pt idx="60">
                  <c:v>11189</c:v>
                </c:pt>
                <c:pt idx="61">
                  <c:v>6918</c:v>
                </c:pt>
                <c:pt idx="62">
                  <c:v>6727</c:v>
                </c:pt>
                <c:pt idx="63">
                  <c:v>8692</c:v>
                </c:pt>
                <c:pt idx="64">
                  <c:v>10803</c:v>
                </c:pt>
                <c:pt idx="65">
                  <c:v>19113</c:v>
                </c:pt>
                <c:pt idx="66">
                  <c:v>14852</c:v>
                </c:pt>
                <c:pt idx="67">
                  <c:v>6214</c:v>
                </c:pt>
                <c:pt idx="68">
                  <c:v>7890</c:v>
                </c:pt>
                <c:pt idx="69">
                  <c:v>8882</c:v>
                </c:pt>
                <c:pt idx="70">
                  <c:v>9700</c:v>
                </c:pt>
                <c:pt idx="71">
                  <c:v>13173</c:v>
                </c:pt>
                <c:pt idx="72">
                  <c:v>18067</c:v>
                </c:pt>
                <c:pt idx="73">
                  <c:v>18899</c:v>
                </c:pt>
                <c:pt idx="74">
                  <c:v>8948</c:v>
                </c:pt>
                <c:pt idx="75">
                  <c:v>8866</c:v>
                </c:pt>
                <c:pt idx="76">
                  <c:v>9334</c:v>
                </c:pt>
                <c:pt idx="77">
                  <c:v>10039</c:v>
                </c:pt>
                <c:pt idx="78">
                  <c:v>12620</c:v>
                </c:pt>
                <c:pt idx="79">
                  <c:v>19682</c:v>
                </c:pt>
                <c:pt idx="80">
                  <c:v>10914</c:v>
                </c:pt>
                <c:pt idx="81">
                  <c:v>7688</c:v>
                </c:pt>
                <c:pt idx="82">
                  <c:v>9177</c:v>
                </c:pt>
                <c:pt idx="83">
                  <c:v>8305</c:v>
                </c:pt>
                <c:pt idx="84">
                  <c:v>4702</c:v>
                </c:pt>
                <c:pt idx="85">
                  <c:v>6495</c:v>
                </c:pt>
                <c:pt idx="86">
                  <c:v>6406</c:v>
                </c:pt>
                <c:pt idx="87">
                  <c:v>14155</c:v>
                </c:pt>
                <c:pt idx="88">
                  <c:v>5257</c:v>
                </c:pt>
                <c:pt idx="89">
                  <c:v>5805</c:v>
                </c:pt>
                <c:pt idx="90">
                  <c:v>5869</c:v>
                </c:pt>
              </c:numCache>
            </c:numRef>
          </c:val>
          <c:smooth val="0"/>
          <c:extLst>
            <c:ext xmlns:c16="http://schemas.microsoft.com/office/drawing/2014/chart" uri="{C3380CC4-5D6E-409C-BE32-E72D297353CC}">
              <c16:uniqueId val="{00000002-7265-431A-9E01-32BCC171C707}"/>
            </c:ext>
          </c:extLst>
        </c:ser>
        <c:dLbls>
          <c:showLegendKey val="0"/>
          <c:showVal val="0"/>
          <c:showCatName val="0"/>
          <c:showSerName val="0"/>
          <c:showPercent val="0"/>
          <c:showBubbleSize val="0"/>
        </c:dLbls>
        <c:smooth val="0"/>
        <c:axId val="559299008"/>
        <c:axId val="559300448"/>
      </c:lineChart>
      <c:catAx>
        <c:axId val="559299008"/>
        <c:scaling>
          <c:orientation val="minMax"/>
        </c:scaling>
        <c:delete val="0"/>
        <c:axPos val="b"/>
        <c:numFmt formatCode="#,##0,&quot;k&quot;\ "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00448"/>
        <c:crosses val="autoZero"/>
        <c:auto val="1"/>
        <c:lblAlgn val="ctr"/>
        <c:lblOffset val="100"/>
        <c:noMultiLvlLbl val="0"/>
      </c:catAx>
      <c:valAx>
        <c:axId val="559300448"/>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299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[DashBoard_Project_2.xlsx]Mthly_PV!PivotTable3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Ride by Rideable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Mthly_PV!$B$3</c:f>
              <c:strCache>
                <c:ptCount val="1"/>
                <c:pt idx="0">
                  <c:v>Classic Bike</c:v>
                </c:pt>
              </c:strCache>
            </c:strRef>
          </c:tx>
          <c:spPr>
            <a:solidFill>
              <a:schemeClr val="accent1"/>
            </a:solidFill>
            <a:ln>
              <a:noFill/>
            </a:ln>
            <a:effectLst/>
          </c:spPr>
          <c:invertIfNegative val="0"/>
          <c:cat>
            <c:strRef>
              <c:f>Mthly_PV!$A$4:$A$7</c:f>
              <c:strCache>
                <c:ptCount val="3"/>
                <c:pt idx="0">
                  <c:v>Apr</c:v>
                </c:pt>
                <c:pt idx="1">
                  <c:v>May</c:v>
                </c:pt>
                <c:pt idx="2">
                  <c:v>Jun</c:v>
                </c:pt>
              </c:strCache>
            </c:strRef>
          </c:cat>
          <c:val>
            <c:numRef>
              <c:f>Mthly_PV!$B$4:$B$7</c:f>
              <c:numCache>
                <c:formatCode>[&gt;=1000000]#,##0,,,"M";[&gt;=1000]#,##0,"K";0</c:formatCode>
                <c:ptCount val="3"/>
                <c:pt idx="0">
                  <c:v>214128</c:v>
                </c:pt>
                <c:pt idx="1">
                  <c:v>308330</c:v>
                </c:pt>
                <c:pt idx="2">
                  <c:v>433787</c:v>
                </c:pt>
              </c:numCache>
            </c:numRef>
          </c:val>
          <c:extLst>
            <c:ext xmlns:c16="http://schemas.microsoft.com/office/drawing/2014/chart" uri="{C3380CC4-5D6E-409C-BE32-E72D297353CC}">
              <c16:uniqueId val="{00000000-1F36-43DF-BF7E-42FB4B31248C}"/>
            </c:ext>
          </c:extLst>
        </c:ser>
        <c:ser>
          <c:idx val="1"/>
          <c:order val="1"/>
          <c:tx>
            <c:strRef>
              <c:f>Mthly_PV!$C$3</c:f>
              <c:strCache>
                <c:ptCount val="1"/>
                <c:pt idx="0">
                  <c:v>Docked Bike</c:v>
                </c:pt>
              </c:strCache>
            </c:strRef>
          </c:tx>
          <c:spPr>
            <a:solidFill>
              <a:schemeClr val="accent2"/>
            </a:solidFill>
            <a:ln>
              <a:noFill/>
            </a:ln>
            <a:effectLst/>
          </c:spPr>
          <c:invertIfNegative val="0"/>
          <c:cat>
            <c:strRef>
              <c:f>Mthly_PV!$A$4:$A$7</c:f>
              <c:strCache>
                <c:ptCount val="3"/>
                <c:pt idx="0">
                  <c:v>Apr</c:v>
                </c:pt>
                <c:pt idx="1">
                  <c:v>May</c:v>
                </c:pt>
                <c:pt idx="2">
                  <c:v>Jun</c:v>
                </c:pt>
              </c:strCache>
            </c:strRef>
          </c:cat>
          <c:val>
            <c:numRef>
              <c:f>Mthly_PV!$C$4:$C$7</c:f>
              <c:numCache>
                <c:formatCode>[&gt;=1000000]#,##0,,,"M";[&gt;=1000]#,##0,"K";0</c:formatCode>
                <c:ptCount val="3"/>
                <c:pt idx="0">
                  <c:v>24714</c:v>
                </c:pt>
                <c:pt idx="1">
                  <c:v>43353</c:v>
                </c:pt>
                <c:pt idx="2">
                  <c:v>51716</c:v>
                </c:pt>
              </c:numCache>
            </c:numRef>
          </c:val>
          <c:extLst>
            <c:ext xmlns:c16="http://schemas.microsoft.com/office/drawing/2014/chart" uri="{C3380CC4-5D6E-409C-BE32-E72D297353CC}">
              <c16:uniqueId val="{00000001-1F36-43DF-BF7E-42FB4B31248C}"/>
            </c:ext>
          </c:extLst>
        </c:ser>
        <c:ser>
          <c:idx val="2"/>
          <c:order val="2"/>
          <c:tx>
            <c:strRef>
              <c:f>Mthly_PV!$D$3</c:f>
              <c:strCache>
                <c:ptCount val="1"/>
                <c:pt idx="0">
                  <c:v>Electric Bike</c:v>
                </c:pt>
              </c:strCache>
            </c:strRef>
          </c:tx>
          <c:spPr>
            <a:solidFill>
              <a:schemeClr val="accent3"/>
            </a:solidFill>
            <a:ln>
              <a:noFill/>
            </a:ln>
            <a:effectLst/>
          </c:spPr>
          <c:invertIfNegative val="0"/>
          <c:cat>
            <c:strRef>
              <c:f>Mthly_PV!$A$4:$A$7</c:f>
              <c:strCache>
                <c:ptCount val="3"/>
                <c:pt idx="0">
                  <c:v>Apr</c:v>
                </c:pt>
                <c:pt idx="1">
                  <c:v>May</c:v>
                </c:pt>
                <c:pt idx="2">
                  <c:v>Jun</c:v>
                </c:pt>
              </c:strCache>
            </c:strRef>
          </c:cat>
          <c:val>
            <c:numRef>
              <c:f>Mthly_PV!$D$4:$D$7</c:f>
              <c:numCache>
                <c:formatCode>[&gt;=1000000]#,##0,,,"M";[&gt;=1000]#,##0,"K";0</c:formatCode>
                <c:ptCount val="3"/>
                <c:pt idx="0">
                  <c:v>59365</c:v>
                </c:pt>
                <c:pt idx="1">
                  <c:v>99311</c:v>
                </c:pt>
                <c:pt idx="2">
                  <c:v>123275</c:v>
                </c:pt>
              </c:numCache>
            </c:numRef>
          </c:val>
          <c:extLst>
            <c:ext xmlns:c16="http://schemas.microsoft.com/office/drawing/2014/chart" uri="{C3380CC4-5D6E-409C-BE32-E72D297353CC}">
              <c16:uniqueId val="{00000002-1F36-43DF-BF7E-42FB4B31248C}"/>
            </c:ext>
          </c:extLst>
        </c:ser>
        <c:dLbls>
          <c:showLegendKey val="0"/>
          <c:showVal val="0"/>
          <c:showCatName val="0"/>
          <c:showSerName val="0"/>
          <c:showPercent val="0"/>
          <c:showBubbleSize val="0"/>
        </c:dLbls>
        <c:gapWidth val="219"/>
        <c:overlap val="100"/>
        <c:axId val="705550688"/>
        <c:axId val="705551648"/>
      </c:barChart>
      <c:catAx>
        <c:axId val="70555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551648"/>
        <c:crosses val="autoZero"/>
        <c:auto val="1"/>
        <c:lblAlgn val="ctr"/>
        <c:lblOffset val="100"/>
        <c:noMultiLvlLbl val="0"/>
      </c:catAx>
      <c:valAx>
        <c:axId val="705551648"/>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5506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[DashBoard_Project_2.xlsx]Daily_PV!PivotTable4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Daily_PV!$I$2</c:f>
              <c:strCache>
                <c:ptCount val="1"/>
                <c:pt idx="0">
                  <c:v>RideCount</c:v>
                </c:pt>
              </c:strCache>
            </c:strRef>
          </c:tx>
          <c:spPr>
            <a:solidFill>
              <a:schemeClr val="accent1"/>
            </a:solidFill>
            <a:ln>
              <a:noFill/>
            </a:ln>
            <a:effectLst/>
          </c:spPr>
          <c:invertIfNegative val="0"/>
          <c:cat>
            <c:strRef>
              <c:f>Daily_PV!$H$3:$H$5</c:f>
              <c:strCache>
                <c:ptCount val="3"/>
                <c:pt idx="0">
                  <c:v>Apr</c:v>
                </c:pt>
                <c:pt idx="1">
                  <c:v>May</c:v>
                </c:pt>
                <c:pt idx="2">
                  <c:v>Jun</c:v>
                </c:pt>
              </c:strCache>
            </c:strRef>
          </c:cat>
          <c:val>
            <c:numRef>
              <c:f>Daily_PV!$I$3:$I$5</c:f>
              <c:numCache>
                <c:formatCode>General</c:formatCode>
                <c:ptCount val="3"/>
                <c:pt idx="0">
                  <c:v>298207</c:v>
                </c:pt>
                <c:pt idx="1">
                  <c:v>450994</c:v>
                </c:pt>
                <c:pt idx="2">
                  <c:v>608778</c:v>
                </c:pt>
              </c:numCache>
            </c:numRef>
          </c:val>
          <c:extLst>
            <c:ext xmlns:c16="http://schemas.microsoft.com/office/drawing/2014/chart" uri="{C3380CC4-5D6E-409C-BE32-E72D297353CC}">
              <c16:uniqueId val="{00000000-1781-4E4D-A3FA-93F137F304AB}"/>
            </c:ext>
          </c:extLst>
        </c:ser>
        <c:ser>
          <c:idx val="1"/>
          <c:order val="1"/>
          <c:tx>
            <c:strRef>
              <c:f>Daily_PV!$J$2</c:f>
              <c:strCache>
                <c:ptCount val="1"/>
                <c:pt idx="0">
                  <c:v>CasualCount</c:v>
                </c:pt>
              </c:strCache>
            </c:strRef>
          </c:tx>
          <c:spPr>
            <a:solidFill>
              <a:schemeClr val="accent2"/>
            </a:solidFill>
            <a:ln>
              <a:noFill/>
            </a:ln>
            <a:effectLst/>
          </c:spPr>
          <c:invertIfNegative val="0"/>
          <c:cat>
            <c:strRef>
              <c:f>Daily_PV!$H$3:$H$5</c:f>
              <c:strCache>
                <c:ptCount val="3"/>
                <c:pt idx="0">
                  <c:v>Apr</c:v>
                </c:pt>
                <c:pt idx="1">
                  <c:v>May</c:v>
                </c:pt>
                <c:pt idx="2">
                  <c:v>Jun</c:v>
                </c:pt>
              </c:strCache>
            </c:strRef>
          </c:cat>
          <c:val>
            <c:numRef>
              <c:f>Daily_PV!$J$3:$J$5</c:f>
              <c:numCache>
                <c:formatCode>General</c:formatCode>
                <c:ptCount val="3"/>
                <c:pt idx="0">
                  <c:v>120420</c:v>
                </c:pt>
                <c:pt idx="1">
                  <c:v>216829</c:v>
                </c:pt>
                <c:pt idx="2">
                  <c:v>304192</c:v>
                </c:pt>
              </c:numCache>
            </c:numRef>
          </c:val>
          <c:extLst>
            <c:ext xmlns:c16="http://schemas.microsoft.com/office/drawing/2014/chart" uri="{C3380CC4-5D6E-409C-BE32-E72D297353CC}">
              <c16:uniqueId val="{00000001-1781-4E4D-A3FA-93F137F304AB}"/>
            </c:ext>
          </c:extLst>
        </c:ser>
        <c:ser>
          <c:idx val="2"/>
          <c:order val="2"/>
          <c:tx>
            <c:strRef>
              <c:f>Daily_PV!$K$2</c:f>
              <c:strCache>
                <c:ptCount val="1"/>
                <c:pt idx="0">
                  <c:v>MemberCount</c:v>
                </c:pt>
              </c:strCache>
            </c:strRef>
          </c:tx>
          <c:spPr>
            <a:solidFill>
              <a:schemeClr val="accent3"/>
            </a:solidFill>
            <a:ln>
              <a:noFill/>
            </a:ln>
            <a:effectLst/>
          </c:spPr>
          <c:invertIfNegative val="0"/>
          <c:cat>
            <c:strRef>
              <c:f>Daily_PV!$H$3:$H$5</c:f>
              <c:strCache>
                <c:ptCount val="3"/>
                <c:pt idx="0">
                  <c:v>Apr</c:v>
                </c:pt>
                <c:pt idx="1">
                  <c:v>May</c:v>
                </c:pt>
                <c:pt idx="2">
                  <c:v>Jun</c:v>
                </c:pt>
              </c:strCache>
            </c:strRef>
          </c:cat>
          <c:val>
            <c:numRef>
              <c:f>Daily_PV!$K$3:$K$5</c:f>
              <c:numCache>
                <c:formatCode>General</c:formatCode>
                <c:ptCount val="3"/>
                <c:pt idx="0">
                  <c:v>177787</c:v>
                </c:pt>
                <c:pt idx="1">
                  <c:v>234165</c:v>
                </c:pt>
                <c:pt idx="2">
                  <c:v>304586</c:v>
                </c:pt>
              </c:numCache>
            </c:numRef>
          </c:val>
          <c:extLst>
            <c:ext xmlns:c16="http://schemas.microsoft.com/office/drawing/2014/chart" uri="{C3380CC4-5D6E-409C-BE32-E72D297353CC}">
              <c16:uniqueId val="{00000002-1781-4E4D-A3FA-93F137F304AB}"/>
            </c:ext>
          </c:extLst>
        </c:ser>
        <c:dLbls>
          <c:showLegendKey val="0"/>
          <c:showVal val="0"/>
          <c:showCatName val="0"/>
          <c:showSerName val="0"/>
          <c:showPercent val="0"/>
          <c:showBubbleSize val="0"/>
        </c:dLbls>
        <c:gapWidth val="219"/>
        <c:overlap val="-27"/>
        <c:axId val="501391632"/>
        <c:axId val="501392112"/>
      </c:barChart>
      <c:catAx>
        <c:axId val="50139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392112"/>
        <c:crosses val="autoZero"/>
        <c:auto val="1"/>
        <c:lblAlgn val="ctr"/>
        <c:lblOffset val="100"/>
        <c:noMultiLvlLbl val="0"/>
      </c:catAx>
      <c:valAx>
        <c:axId val="50139211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391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[DashBoard_Project_2.xlsx]Wkly_PV!PivotTable4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a:t>
            </a:r>
            <a:r>
              <a:rPr lang="en-US" baseline="0"/>
              <a:t> Ride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quot;k&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quot;k&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Wkly_PV!$B$3:$B$4</c:f>
              <c:strCache>
                <c:ptCount val="1"/>
                <c:pt idx="0">
                  <c:v>Apr</c:v>
                </c:pt>
              </c:strCache>
            </c:strRef>
          </c:tx>
          <c:spPr>
            <a:solidFill>
              <a:schemeClr val="accent1"/>
            </a:solidFill>
            <a:ln>
              <a:noFill/>
            </a:ln>
            <a:effectLst/>
          </c:spPr>
          <c:invertIfNegative val="0"/>
          <c:dLbls>
            <c:numFmt formatCode="#,##0,&quot;k&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Wkly_PV!$A$5:$A$12</c:f>
              <c:strCache>
                <c:ptCount val="7"/>
                <c:pt idx="0">
                  <c:v>Thursday</c:v>
                </c:pt>
                <c:pt idx="1">
                  <c:v>Monday</c:v>
                </c:pt>
                <c:pt idx="2">
                  <c:v>Wednesday</c:v>
                </c:pt>
                <c:pt idx="3">
                  <c:v>Tuesday</c:v>
                </c:pt>
                <c:pt idx="4">
                  <c:v>Friday</c:v>
                </c:pt>
                <c:pt idx="5">
                  <c:v>Sunday</c:v>
                </c:pt>
                <c:pt idx="6">
                  <c:v>Saturday</c:v>
                </c:pt>
              </c:strCache>
            </c:strRef>
          </c:cat>
          <c:val>
            <c:numRef>
              <c:f>Wkly_PV!$B$5:$B$12</c:f>
              <c:numCache>
                <c:formatCode>[&gt;=1000000]#,##0,,,"M";[&gt;=1000]#,##0,"K";0</c:formatCode>
                <c:ptCount val="7"/>
                <c:pt idx="0">
                  <c:v>35005</c:v>
                </c:pt>
                <c:pt idx="1">
                  <c:v>38769</c:v>
                </c:pt>
                <c:pt idx="2">
                  <c:v>32882</c:v>
                </c:pt>
                <c:pt idx="3">
                  <c:v>46255</c:v>
                </c:pt>
                <c:pt idx="4">
                  <c:v>51382</c:v>
                </c:pt>
                <c:pt idx="5">
                  <c:v>45340</c:v>
                </c:pt>
                <c:pt idx="6">
                  <c:v>48574</c:v>
                </c:pt>
              </c:numCache>
            </c:numRef>
          </c:val>
          <c:extLst>
            <c:ext xmlns:c16="http://schemas.microsoft.com/office/drawing/2014/chart" uri="{C3380CC4-5D6E-409C-BE32-E72D297353CC}">
              <c16:uniqueId val="{00000000-E9DA-4D70-B3BD-AA103123C9AE}"/>
            </c:ext>
          </c:extLst>
        </c:ser>
        <c:ser>
          <c:idx val="1"/>
          <c:order val="1"/>
          <c:tx>
            <c:strRef>
              <c:f>Wkly_PV!$C$3:$C$4</c:f>
              <c:strCache>
                <c:ptCount val="1"/>
                <c:pt idx="0">
                  <c:v>May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Wkly_PV!$A$5:$A$12</c:f>
              <c:strCache>
                <c:ptCount val="7"/>
                <c:pt idx="0">
                  <c:v>Thursday</c:v>
                </c:pt>
                <c:pt idx="1">
                  <c:v>Monday</c:v>
                </c:pt>
                <c:pt idx="2">
                  <c:v>Wednesday</c:v>
                </c:pt>
                <c:pt idx="3">
                  <c:v>Tuesday</c:v>
                </c:pt>
                <c:pt idx="4">
                  <c:v>Friday</c:v>
                </c:pt>
                <c:pt idx="5">
                  <c:v>Sunday</c:v>
                </c:pt>
                <c:pt idx="6">
                  <c:v>Saturday</c:v>
                </c:pt>
              </c:strCache>
            </c:strRef>
          </c:cat>
          <c:val>
            <c:numRef>
              <c:f>Wkly_PV!$C$5:$C$12</c:f>
              <c:numCache>
                <c:formatCode>[&gt;=1000000]#,##0,,,"M";[&gt;=1000]#,##0,"K";0</c:formatCode>
                <c:ptCount val="7"/>
                <c:pt idx="0">
                  <c:v>49105</c:v>
                </c:pt>
                <c:pt idx="1">
                  <c:v>64567</c:v>
                </c:pt>
                <c:pt idx="2">
                  <c:v>52632</c:v>
                </c:pt>
                <c:pt idx="3">
                  <c:v>43659</c:v>
                </c:pt>
                <c:pt idx="4">
                  <c:v>55069</c:v>
                </c:pt>
                <c:pt idx="5">
                  <c:v>90079</c:v>
                </c:pt>
                <c:pt idx="6">
                  <c:v>95883</c:v>
                </c:pt>
              </c:numCache>
            </c:numRef>
          </c:val>
          <c:extLst>
            <c:ext xmlns:c16="http://schemas.microsoft.com/office/drawing/2014/chart" uri="{C3380CC4-5D6E-409C-BE32-E72D297353CC}">
              <c16:uniqueId val="{00000001-E9DA-4D70-B3BD-AA103123C9AE}"/>
            </c:ext>
          </c:extLst>
        </c:ser>
        <c:ser>
          <c:idx val="2"/>
          <c:order val="2"/>
          <c:tx>
            <c:strRef>
              <c:f>Wkly_PV!$D$3:$D$4</c:f>
              <c:strCache>
                <c:ptCount val="1"/>
                <c:pt idx="0">
                  <c:v>Jun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Wkly_PV!$A$5:$A$12</c:f>
              <c:strCache>
                <c:ptCount val="7"/>
                <c:pt idx="0">
                  <c:v>Thursday</c:v>
                </c:pt>
                <c:pt idx="1">
                  <c:v>Monday</c:v>
                </c:pt>
                <c:pt idx="2">
                  <c:v>Wednesday</c:v>
                </c:pt>
                <c:pt idx="3">
                  <c:v>Tuesday</c:v>
                </c:pt>
                <c:pt idx="4">
                  <c:v>Friday</c:v>
                </c:pt>
                <c:pt idx="5">
                  <c:v>Sunday</c:v>
                </c:pt>
                <c:pt idx="6">
                  <c:v>Saturday</c:v>
                </c:pt>
              </c:strCache>
            </c:strRef>
          </c:cat>
          <c:val>
            <c:numRef>
              <c:f>Wkly_PV!$D$5:$D$12</c:f>
              <c:numCache>
                <c:formatCode>[&gt;=1000000]#,##0,,,"M";[&gt;=1000]#,##0,"K";0</c:formatCode>
                <c:ptCount val="7"/>
                <c:pt idx="0">
                  <c:v>75056</c:v>
                </c:pt>
                <c:pt idx="1">
                  <c:v>65530</c:v>
                </c:pt>
                <c:pt idx="2">
                  <c:v>94675</c:v>
                </c:pt>
                <c:pt idx="3">
                  <c:v>91062</c:v>
                </c:pt>
                <c:pt idx="4">
                  <c:v>83347</c:v>
                </c:pt>
                <c:pt idx="5">
                  <c:v>96992</c:v>
                </c:pt>
                <c:pt idx="6">
                  <c:v>102116</c:v>
                </c:pt>
              </c:numCache>
            </c:numRef>
          </c:val>
          <c:extLst>
            <c:ext xmlns:c16="http://schemas.microsoft.com/office/drawing/2014/chart" uri="{C3380CC4-5D6E-409C-BE32-E72D297353CC}">
              <c16:uniqueId val="{00000002-E9DA-4D70-B3BD-AA103123C9AE}"/>
            </c:ext>
          </c:extLst>
        </c:ser>
        <c:dLbls>
          <c:showLegendKey val="0"/>
          <c:showVal val="1"/>
          <c:showCatName val="0"/>
          <c:showSerName val="0"/>
          <c:showPercent val="0"/>
          <c:showBubbleSize val="0"/>
        </c:dLbls>
        <c:gapWidth val="150"/>
        <c:overlap val="100"/>
        <c:axId val="705563168"/>
        <c:axId val="705568448"/>
      </c:barChart>
      <c:catAx>
        <c:axId val="70556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568448"/>
        <c:crosses val="autoZero"/>
        <c:auto val="1"/>
        <c:lblAlgn val="ctr"/>
        <c:lblOffset val="100"/>
        <c:noMultiLvlLbl val="0"/>
      </c:catAx>
      <c:valAx>
        <c:axId val="705568448"/>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5631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Percentage of Rideable Types</a:t>
            </a:r>
          </a:p>
        </c:rich>
      </c:tx>
      <c:layout>
        <c:manualLayout>
          <c:xMode val="edge"/>
          <c:yMode val="edge"/>
          <c:x val="0.23126347636626368"/>
          <c:y val="4.41958648283706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1"/>
          <c:tx>
            <c:strRef>
              <c:f>'monthly_data (1)'!$J$1</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D3-4A53-A037-BD9EE23C12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D3-4A53-A037-BD9EE23C12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D3-4A53-A037-BD9EE23C12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'monthly_data (1)'!$H$2:$H$4</c:f>
              <c:strCache>
                <c:ptCount val="3"/>
                <c:pt idx="0">
                  <c:v>Classic_bike</c:v>
                </c:pt>
                <c:pt idx="1">
                  <c:v>Electric_bike</c:v>
                </c:pt>
                <c:pt idx="2">
                  <c:v>Docked_bike</c:v>
                </c:pt>
              </c:strCache>
            </c:strRef>
          </c:cat>
          <c:val>
            <c:numRef>
              <c:f>'monthly_data (1)'!$J$2:$J$4</c:f>
              <c:numCache>
                <c:formatCode>0%</c:formatCode>
                <c:ptCount val="3"/>
                <c:pt idx="0">
                  <c:v>0.70416773749814987</c:v>
                </c:pt>
                <c:pt idx="1">
                  <c:v>0.20762544928898016</c:v>
                </c:pt>
                <c:pt idx="2">
                  <c:v>8.8206813212870008E-2</c:v>
                </c:pt>
              </c:numCache>
            </c:numRef>
          </c:val>
          <c:extLst>
            <c:ext xmlns:c16="http://schemas.microsoft.com/office/drawing/2014/chart" uri="{C3380CC4-5D6E-409C-BE32-E72D297353CC}">
              <c16:uniqueId val="{00000006-FBD3-4A53-A037-BD9EE23C12D6}"/>
            </c:ext>
          </c:extLst>
        </c:ser>
        <c:dLbls>
          <c:dLblPos val="bestFit"/>
          <c:showLegendKey val="0"/>
          <c:showVal val="1"/>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'monthly_data (1)'!$I$1</c15:sqref>
                        </c15:formulaRef>
                      </c:ext>
                    </c:extLst>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FBD3-4A53-A037-BD9EE23C12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FBD3-4A53-A037-BD9EE23C12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BD3-4A53-A037-BD9EE23C12D6}"/>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'monthly_data (1)'!$H$2:$H$4</c15:sqref>
                        </c15:formulaRef>
                      </c:ext>
                    </c:extLst>
                    <c:strCache>
                      <c:ptCount val="3"/>
                      <c:pt idx="0">
                        <c:v>Classic_bike</c:v>
                      </c:pt>
                      <c:pt idx="1">
                        <c:v>Electric_bike</c:v>
                      </c:pt>
                      <c:pt idx="2">
                        <c:v>Docked_bike</c:v>
                      </c:pt>
                    </c:strCache>
                  </c:strRef>
                </c:cat>
                <c:val>
                  <c:numRef>
                    <c:extLst>
                      <c:ext uri="{02D57815-91ED-43cb-92C2-25804820EDAC}">
                        <c15:formulaRef>
                          <c15:sqref>'monthly_data (1)'!$I$2:$I$4</c15:sqref>
                        </c15:formulaRef>
                      </c:ext>
                    </c:extLst>
                    <c:numCache>
                      <c:formatCode>General</c:formatCode>
                      <c:ptCount val="3"/>
                      <c:pt idx="0">
                        <c:v>956245</c:v>
                      </c:pt>
                      <c:pt idx="1">
                        <c:v>281951</c:v>
                      </c:pt>
                      <c:pt idx="2">
                        <c:v>119783</c:v>
                      </c:pt>
                    </c:numCache>
                  </c:numRef>
                </c:val>
                <c:extLst>
                  <c:ext xmlns:c16="http://schemas.microsoft.com/office/drawing/2014/chart" uri="{C3380CC4-5D6E-409C-BE32-E72D297353CC}">
                    <c16:uniqueId val="{0000000D-FBD3-4A53-A037-BD9EE23C12D6}"/>
                  </c:ext>
                </c:extLst>
              </c15:ser>
            </c15:filteredPieSeries>
          </c:ext>
        </c:extLst>
      </c:pie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11</xdr:col>
      <xdr:colOff>45087</xdr:colOff>
      <xdr:row>5</xdr:row>
      <xdr:rowOff>111971</xdr:rowOff>
    </xdr:from>
    <xdr:to>
      <xdr:col>14</xdr:col>
      <xdr:colOff>289773</xdr:colOff>
      <xdr:row>13</xdr:row>
      <xdr:rowOff>80433</xdr:rowOff>
    </xdr:to>
    <xdr:graphicFrame macro="">
      <xdr:nvGraphicFramePr>
        <xdr:cNvPr id="5" name="Chart 4">
          <a:extLst>
            <a:ext uri="{FF2B5EF4-FFF2-40B4-BE49-F238E27FC236}">
              <a16:creationId xmlns:a16="http://schemas.microsoft.com/office/drawing/2014/main" id="{630330A6-CE4E-310F-B0B4-7038B5B5A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63078</xdr:colOff>
      <xdr:row>13</xdr:row>
      <xdr:rowOff>62653</xdr:rowOff>
    </xdr:from>
    <xdr:to>
      <xdr:col>18</xdr:col>
      <xdr:colOff>369783</xdr:colOff>
      <xdr:row>27</xdr:row>
      <xdr:rowOff>73871</xdr:rowOff>
    </xdr:to>
    <xdr:graphicFrame macro="">
      <xdr:nvGraphicFramePr>
        <xdr:cNvPr id="6" name="Chart 5">
          <a:extLst>
            <a:ext uri="{FF2B5EF4-FFF2-40B4-BE49-F238E27FC236}">
              <a16:creationId xmlns:a16="http://schemas.microsoft.com/office/drawing/2014/main" id="{C6F221BB-BD9B-29F7-E3C7-751F35840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336550</xdr:colOff>
      <xdr:row>7</xdr:row>
      <xdr:rowOff>4657</xdr:rowOff>
    </xdr:from>
    <xdr:to>
      <xdr:col>10</xdr:col>
      <xdr:colOff>676063</xdr:colOff>
      <xdr:row>10</xdr:row>
      <xdr:rowOff>110279</xdr:rowOff>
    </xdr:to>
    <mc:AlternateContent xmlns:mc="http://schemas.openxmlformats.org/markup-compatibility/2006" xmlns:a14="http://schemas.microsoft.com/office/drawing/2010/main">
      <mc:Choice Requires="a14">
        <xdr:graphicFrame macro="">
          <xdr:nvGraphicFramePr>
            <xdr:cNvPr id="7" name="Months (started)">
              <a:extLst>
                <a:ext uri="{FF2B5EF4-FFF2-40B4-BE49-F238E27FC236}">
                  <a16:creationId xmlns:a16="http://schemas.microsoft.com/office/drawing/2014/main" id="{6FD100F1-B2C8-B26E-7D59-408E737E24D3}"/>
                </a:ext>
              </a:extLst>
            </xdr:cNvPr>
            <xdr:cNvGraphicFramePr/>
          </xdr:nvGraphicFramePr>
          <xdr:xfrm>
            <a:off x="0" y="0"/>
            <a:ext cx="0" cy="0"/>
          </xdr:xfrm>
          <a:graphic>
            <a:graphicData uri="http://schemas.microsoft.com/office/drawing/2010/slicer">
              <sle:slicer xmlns:sle="http://schemas.microsoft.com/office/drawing/2010/slicer" name="Months (started)"/>
            </a:graphicData>
          </a:graphic>
        </xdr:graphicFrame>
      </mc:Choice>
      <mc:Fallback xmlns="">
        <xdr:sp macro="" textlink="">
          <xdr:nvSpPr>
            <xdr:cNvPr id="0" name=""/>
            <xdr:cNvSpPr>
              <a:spLocks noTextEdit="1"/>
            </xdr:cNvSpPr>
          </xdr:nvSpPr>
          <xdr:spPr>
            <a:xfrm>
              <a:off x="6307455" y="1367790"/>
              <a:ext cx="1838325" cy="689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560705</xdr:colOff>
      <xdr:row>13</xdr:row>
      <xdr:rowOff>84243</xdr:rowOff>
    </xdr:from>
    <xdr:to>
      <xdr:col>11</xdr:col>
      <xdr:colOff>50800</xdr:colOff>
      <xdr:row>27</xdr:row>
      <xdr:rowOff>95461</xdr:rowOff>
    </xdr:to>
    <xdr:graphicFrame macro="">
      <xdr:nvGraphicFramePr>
        <xdr:cNvPr id="8" name="Chart 7">
          <a:extLst>
            <a:ext uri="{FF2B5EF4-FFF2-40B4-BE49-F238E27FC236}">
              <a16:creationId xmlns:a16="http://schemas.microsoft.com/office/drawing/2014/main" id="{4CE9E20B-E435-B656-F65E-40E723AC6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41910</xdr:colOff>
      <xdr:row>1</xdr:row>
      <xdr:rowOff>121920</xdr:rowOff>
    </xdr:from>
    <xdr:to>
      <xdr:col>13</xdr:col>
      <xdr:colOff>453390</xdr:colOff>
      <xdr:row>16</xdr:row>
      <xdr:rowOff>7620</xdr:rowOff>
    </xdr:to>
    <xdr:graphicFrame macro="">
      <xdr:nvGraphicFramePr>
        <xdr:cNvPr id="2" name="Chart 1">
          <a:extLst>
            <a:ext uri="{FF2B5EF4-FFF2-40B4-BE49-F238E27FC236}">
              <a16:creationId xmlns:a16="http://schemas.microsoft.com/office/drawing/2014/main" id="{303D8EE8-BA88-E92A-D25B-447D7C789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230505</xdr:colOff>
      <xdr:row>6</xdr:row>
      <xdr:rowOff>165735</xdr:rowOff>
    </xdr:from>
    <xdr:to>
      <xdr:col>14</xdr:col>
      <xdr:colOff>308610</xdr:colOff>
      <xdr:row>21</xdr:row>
      <xdr:rowOff>51435</xdr:rowOff>
    </xdr:to>
    <xdr:graphicFrame macro="">
      <xdr:nvGraphicFramePr>
        <xdr:cNvPr id="2" name="Chart 1">
          <a:extLst>
            <a:ext uri="{FF2B5EF4-FFF2-40B4-BE49-F238E27FC236}">
              <a16:creationId xmlns:a16="http://schemas.microsoft.com/office/drawing/2014/main" id="{97D809CC-D9EB-41A1-9E81-A61997345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704850</xdr:colOff>
      <xdr:row>1</xdr:row>
      <xdr:rowOff>28575</xdr:rowOff>
    </xdr:from>
    <xdr:to>
      <xdr:col>11</xdr:col>
      <xdr:colOff>327660</xdr:colOff>
      <xdr:row>15</xdr:row>
      <xdr:rowOff>104775</xdr:rowOff>
    </xdr:to>
    <xdr:graphicFrame macro="">
      <xdr:nvGraphicFramePr>
        <xdr:cNvPr id="2" name="Chart 1">
          <a:extLst>
            <a:ext uri="{FF2B5EF4-FFF2-40B4-BE49-F238E27FC236}">
              <a16:creationId xmlns:a16="http://schemas.microsoft.com/office/drawing/2014/main" id="{E935A0D8-A6A4-8514-B443-FB7DFFD17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377191</xdr:colOff>
      <xdr:row>0</xdr:row>
      <xdr:rowOff>97156</xdr:rowOff>
    </xdr:from>
    <xdr:to>
      <xdr:col>5</xdr:col>
      <xdr:colOff>192405</xdr:colOff>
      <xdr:row>4</xdr:row>
      <xdr:rowOff>59056</xdr:rowOff>
    </xdr:to>
    <xdr:graphicFrame macro="">
      <xdr:nvGraphicFramePr>
        <xdr:cNvPr id="2" name="Chart 1">
          <a:extLst>
            <a:ext uri="{FF2B5EF4-FFF2-40B4-BE49-F238E27FC236}">
              <a16:creationId xmlns:a16="http://schemas.microsoft.com/office/drawing/2014/main" id="{AD40AAAE-B6A1-42C9-A636-AC03433EB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304798</xdr:colOff>
      <xdr:row>4</xdr:row>
      <xdr:rowOff>133350</xdr:rowOff>
    </xdr:from>
    <xdr:to>
      <xdr:col>20</xdr:col>
      <xdr:colOff>224113</xdr:colOff>
      <xdr:row>17</xdr:row>
      <xdr:rowOff>171135</xdr:rowOff>
    </xdr:to>
    <xdr:graphicFrame macro="">
      <xdr:nvGraphicFramePr>
        <xdr:cNvPr id="3" name="Chart 2">
          <a:extLst>
            <a:ext uri="{FF2B5EF4-FFF2-40B4-BE49-F238E27FC236}">
              <a16:creationId xmlns:a16="http://schemas.microsoft.com/office/drawing/2014/main" id="{F2A48303-8813-4AA1-9D46-89AC56E9A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300990</xdr:colOff>
      <xdr:row>1</xdr:row>
      <xdr:rowOff>17146</xdr:rowOff>
    </xdr:from>
    <xdr:to>
      <xdr:col>20</xdr:col>
      <xdr:colOff>186690</xdr:colOff>
      <xdr:row>3</xdr:row>
      <xdr:rowOff>131445</xdr:rowOff>
    </xdr:to>
    <mc:AlternateContent xmlns:mc="http://schemas.openxmlformats.org/markup-compatibility/2006" xmlns:a14="http://schemas.microsoft.com/office/drawing/2010/main">
      <mc:Choice Requires="a14">
        <xdr:graphicFrame macro="">
          <xdr:nvGraphicFramePr>
            <xdr:cNvPr id="7" name="Months (started) 1">
              <a:extLst>
                <a:ext uri="{FF2B5EF4-FFF2-40B4-BE49-F238E27FC236}">
                  <a16:creationId xmlns:a16="http://schemas.microsoft.com/office/drawing/2014/main" id="{47183EFA-6A7B-08B1-16FE-B27C3989F648}"/>
                </a:ext>
              </a:extLst>
            </xdr:cNvPr>
            <xdr:cNvGraphicFramePr/>
          </xdr:nvGraphicFramePr>
          <xdr:xfrm>
            <a:off x="0" y="0"/>
            <a:ext cx="0" cy="0"/>
          </xdr:xfrm>
          <a:graphic>
            <a:graphicData uri="http://schemas.microsoft.com/office/drawing/2010/slicer">
              <sle:slicer xmlns:sle="http://schemas.microsoft.com/office/drawing/2010/slicer" name="Months (started) 1"/>
            </a:graphicData>
          </a:graphic>
        </xdr:graphicFrame>
      </mc:Choice>
      <mc:Fallback xmlns="">
        <xdr:sp macro="" textlink="">
          <xdr:nvSpPr>
            <xdr:cNvPr id="0" name=""/>
            <xdr:cNvSpPr>
              <a:spLocks noTextEdit="1"/>
            </xdr:cNvSpPr>
          </xdr:nvSpPr>
          <xdr:spPr>
            <a:xfrm>
              <a:off x="10664190" y="211456"/>
              <a:ext cx="1714500" cy="495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382904</xdr:colOff>
      <xdr:row>18</xdr:row>
      <xdr:rowOff>29528</xdr:rowOff>
    </xdr:from>
    <xdr:to>
      <xdr:col>14</xdr:col>
      <xdr:colOff>236159</xdr:colOff>
      <xdr:row>31</xdr:row>
      <xdr:rowOff>67313</xdr:rowOff>
    </xdr:to>
    <xdr:graphicFrame macro="">
      <xdr:nvGraphicFramePr>
        <xdr:cNvPr id="14" name="Chart 13">
          <a:extLst>
            <a:ext uri="{FF2B5EF4-FFF2-40B4-BE49-F238E27FC236}">
              <a16:creationId xmlns:a16="http://schemas.microsoft.com/office/drawing/2014/main" id="{ADFEA249-00F4-4888-A01C-B3B8FA1D9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339090</xdr:colOff>
      <xdr:row>4</xdr:row>
      <xdr:rowOff>133350</xdr:rowOff>
    </xdr:from>
    <xdr:to>
      <xdr:col>11</xdr:col>
      <xdr:colOff>262215</xdr:colOff>
      <xdr:row>17</xdr:row>
      <xdr:rowOff>171135</xdr:rowOff>
    </xdr:to>
    <xdr:graphicFrame macro="">
      <xdr:nvGraphicFramePr>
        <xdr:cNvPr id="15" name="Chart 14">
          <a:extLst>
            <a:ext uri="{FF2B5EF4-FFF2-40B4-BE49-F238E27FC236}">
              <a16:creationId xmlns:a16="http://schemas.microsoft.com/office/drawing/2014/main" id="{ADD66676-BF95-4EE7-A27A-3F911D3A8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344803</xdr:colOff>
      <xdr:row>18</xdr:row>
      <xdr:rowOff>29528</xdr:rowOff>
    </xdr:from>
    <xdr:to>
      <xdr:col>20</xdr:col>
      <xdr:colOff>224728</xdr:colOff>
      <xdr:row>31</xdr:row>
      <xdr:rowOff>67313</xdr:rowOff>
    </xdr:to>
    <xdr:graphicFrame macro="">
      <xdr:nvGraphicFramePr>
        <xdr:cNvPr id="4" name="Chart 3">
          <a:extLst>
            <a:ext uri="{FF2B5EF4-FFF2-40B4-BE49-F238E27FC236}">
              <a16:creationId xmlns:a16="http://schemas.microsoft.com/office/drawing/2014/main" id="{06C5605D-4FF0-43FA-99A6-9087644BC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377188</xdr:colOff>
      <xdr:row>18</xdr:row>
      <xdr:rowOff>29528</xdr:rowOff>
    </xdr:from>
    <xdr:to>
      <xdr:col>8</xdr:col>
      <xdr:colOff>262828</xdr:colOff>
      <xdr:row>31</xdr:row>
      <xdr:rowOff>67313</xdr:rowOff>
    </xdr:to>
    <xdr:graphicFrame macro="">
      <xdr:nvGraphicFramePr>
        <xdr:cNvPr id="5" name="Chart 4">
          <a:extLst>
            <a:ext uri="{FF2B5EF4-FFF2-40B4-BE49-F238E27FC236}">
              <a16:creationId xmlns:a16="http://schemas.microsoft.com/office/drawing/2014/main" id="{B6A1B0BD-4BDB-4D03-B991-D8CD9EC20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116205</xdr:colOff>
      <xdr:row>1</xdr:row>
      <xdr:rowOff>55245</xdr:rowOff>
    </xdr:from>
    <xdr:ext cx="6652260" cy="593304"/>
    <xdr:sp macro="" textlink="">
      <xdr:nvSpPr>
        <xdr:cNvPr id="11" name="TextBox 10">
          <a:extLst>
            <a:ext uri="{FF2B5EF4-FFF2-40B4-BE49-F238E27FC236}">
              <a16:creationId xmlns:a16="http://schemas.microsoft.com/office/drawing/2014/main" id="{7CCEB517-115F-0EFA-7CD7-923D33985942}"/>
            </a:ext>
          </a:extLst>
        </xdr:cNvPr>
        <xdr:cNvSpPr txBox="1"/>
      </xdr:nvSpPr>
      <xdr:spPr>
        <a:xfrm>
          <a:off x="3773805" y="245745"/>
          <a:ext cx="6652260"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t>Cyclistic Bike Share Analysis 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8.007948148152" createdVersion="8" refreshedVersion="8" minRefreshableVersion="3" recordCount="91" xr:uid="{D6DDA9B2-8B75-4676-AA08-27A8F81E7FCC}">
  <cacheSource type="worksheet">
    <worksheetSource name="weekly_data__1"/>
  </cacheSource>
  <cacheFields count="6">
    <cacheField name="started" numFmtId="14">
      <sharedItems containsSemiMixedTypes="0" containsNonDate="0" containsDate="1" containsString="0" minDate="2021-04-01T00:00:00" maxDate="2021-07-01T00:00:00" count="91">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sharedItems>
      <fieldGroup par="5"/>
    </cacheField>
    <cacheField name="ride_id" numFmtId="0">
      <sharedItems containsSemiMixedTypes="0" containsString="0" containsNumber="1" containsInteger="1" minValue="4645" maxValue="31261"/>
    </cacheField>
    <cacheField name="weekdays" numFmtId="0">
      <sharedItems count="7">
        <s v="Thursday"/>
        <s v="Friday"/>
        <s v="Saturday"/>
        <s v="Sunday"/>
        <s v="Monday"/>
        <s v="Tuesday"/>
        <s v="Wednesday"/>
      </sharedItems>
    </cacheField>
    <cacheField name="month" numFmtId="0">
      <sharedItems containsSemiMixedTypes="0" containsString="0" containsNumber="1" containsInteger="1" minValue="4" maxValue="6"/>
    </cacheField>
    <cacheField name="Days (started)" numFmtId="0" databaseField="0">
      <fieldGroup base="0">
        <rangePr groupBy="days" startDate="2021-04-01T00:00:00" endDate="2021-07-01T00:00:00"/>
        <groupItems count="368">
          <s v="&lt;01/04/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1"/>
        </groupItems>
      </fieldGroup>
    </cacheField>
    <cacheField name="Months (started)" numFmtId="0" databaseField="0">
      <fieldGroup base="0">
        <rangePr groupBy="months" startDate="2021-04-01T00:00:00" endDate="2021-07-01T00:00:00"/>
        <groupItems count="14">
          <s v="&lt;01/04/2021"/>
          <s v="Jan"/>
          <s v="Feb"/>
          <s v="Mar"/>
          <s v="Apr"/>
          <s v="May"/>
          <s v="Jun"/>
          <s v="Jul"/>
          <s v="Aug"/>
          <s v="Sep"/>
          <s v="Oct"/>
          <s v="Nov"/>
          <s v="Dec"/>
          <s v="&gt;01/07/2021"/>
        </groupItems>
      </fieldGroup>
    </cacheField>
  </cacheFields>
  <extLst>
    <ext xmlns:x14="http://schemas.microsoft.com/office/spreadsheetml/2009/9/main" uri="{725AE2AE-9491-48be-B2B4-4EB974FC3084}">
      <x14:pivotCacheDefinition pivotCacheId="20771163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8.007948726852" createdVersion="8" refreshedVersion="8" minRefreshableVersion="3" recordCount="91" xr:uid="{85C6E23B-C069-4815-A117-F76E0FBCFC48}">
  <cacheSource type="worksheet">
    <worksheetSource name="monthly_data__1"/>
  </cacheSource>
  <cacheFields count="8">
    <cacheField name="started" numFmtId="14">
      <sharedItems containsSemiMixedTypes="0" containsNonDate="0" containsDate="1" containsString="0" minDate="2021-04-01T00:00:00" maxDate="2021-07-01T00:00:00" count="91">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sharedItems>
      <fieldGroup par="7"/>
    </cacheField>
    <cacheField name="ride_id" numFmtId="0">
      <sharedItems containsSemiMixedTypes="0" containsString="0" containsNumber="1" containsInteger="1" minValue="4645" maxValue="31261" count="91">
        <n v="4812"/>
        <n v="8217"/>
        <n v="17934"/>
        <n v="15919"/>
        <n v="10248"/>
        <n v="15543"/>
        <n v="14058"/>
        <n v="4645"/>
        <n v="11047"/>
        <n v="4764"/>
        <n v="9813"/>
        <n v="9884"/>
        <n v="8937"/>
        <n v="7373"/>
        <n v="7613"/>
        <n v="9728"/>
        <n v="12548"/>
        <n v="11891"/>
        <n v="5883"/>
        <n v="5561"/>
        <n v="5671"/>
        <n v="9492"/>
        <n v="11813"/>
        <n v="13328"/>
        <n v="7717"/>
        <n v="12754"/>
        <n v="16214"/>
        <n v="5780"/>
        <n v="8443"/>
        <n v="10577"/>
        <n v="21690"/>
        <n v="22206"/>
        <n v="8531"/>
        <n v="7884"/>
        <n v="10693"/>
        <n v="8006"/>
        <n v="11233"/>
        <n v="12929"/>
        <n v="6071"/>
        <n v="7876"/>
        <n v="9380"/>
        <n v="11428"/>
        <n v="14119"/>
        <n v="17265"/>
        <n v="13049"/>
        <n v="20364"/>
        <n v="12795"/>
        <n v="10549"/>
        <n v="13406"/>
        <n v="17304"/>
        <n v="20889"/>
        <n v="30104"/>
        <n v="18677"/>
        <n v="16910"/>
        <n v="15846"/>
        <n v="17105"/>
        <n v="9676"/>
        <n v="5682"/>
        <n v="18111"/>
        <n v="22761"/>
        <n v="18455"/>
        <n v="16354"/>
        <n v="17081"/>
        <n v="19631"/>
        <n v="21521"/>
        <n v="30320"/>
        <n v="24527"/>
        <n v="14793"/>
        <n v="18815"/>
        <n v="20676"/>
        <n v="21281"/>
        <n v="24869"/>
        <n v="28841"/>
        <n v="29919"/>
        <n v="19366"/>
        <n v="20333"/>
        <n v="21539"/>
        <n v="21771"/>
        <n v="23542"/>
        <n v="31261"/>
        <n v="18388"/>
        <n v="17988"/>
        <n v="20929"/>
        <n v="19720"/>
        <n v="12373"/>
        <n v="13415"/>
        <n v="11694"/>
        <n v="24158"/>
        <n v="13383"/>
        <n v="14631"/>
        <n v="15659"/>
      </sharedItems>
    </cacheField>
    <cacheField name="classic_bike" numFmtId="0">
      <sharedItems containsSemiMixedTypes="0" containsString="0" containsNumber="1" containsInteger="1" minValue="3290" maxValue="23848" count="91">
        <n v="3290"/>
        <n v="5647"/>
        <n v="12358"/>
        <n v="11166"/>
        <n v="7637"/>
        <n v="11337"/>
        <n v="10420"/>
        <n v="3398"/>
        <n v="8007"/>
        <n v="3431"/>
        <n v="7074"/>
        <n v="7346"/>
        <n v="6587"/>
        <n v="5232"/>
        <n v="5431"/>
        <n v="6956"/>
        <n v="8703"/>
        <n v="8161"/>
        <n v="4248"/>
        <n v="4063"/>
        <n v="4106"/>
        <n v="6778"/>
        <n v="8328"/>
        <n v="9520"/>
        <n v="5641"/>
        <n v="9317"/>
        <n v="11893"/>
        <n v="4225"/>
        <n v="6220"/>
        <n v="7608"/>
        <n v="15412"/>
        <n v="15998"/>
        <n v="6495"/>
        <n v="5814"/>
        <n v="7731"/>
        <n v="5600"/>
        <n v="7760"/>
        <n v="8969"/>
        <n v="4166"/>
        <n v="5578"/>
        <n v="6541"/>
        <n v="7861"/>
        <n v="9410"/>
        <n v="11219"/>
        <n v="8203"/>
        <n v="13324"/>
        <n v="8696"/>
        <n v="7113"/>
        <n v="9244"/>
        <n v="11946"/>
        <n v="13872"/>
        <n v="20938"/>
        <n v="12403"/>
        <n v="11443"/>
        <n v="10905"/>
        <n v="12227"/>
        <n v="6683"/>
        <n v="3751"/>
        <n v="12059"/>
        <n v="14884"/>
        <n v="12085"/>
        <n v="11334"/>
        <n v="11642"/>
        <n v="13523"/>
        <n v="14517"/>
        <n v="20770"/>
        <n v="16976"/>
        <n v="10450"/>
        <n v="13218"/>
        <n v="14656"/>
        <n v="15178"/>
        <n v="16962"/>
        <n v="20637"/>
        <n v="21951"/>
        <n v="13850"/>
        <n v="14651"/>
        <n v="15708"/>
        <n v="15621"/>
        <n v="17453"/>
        <n v="23848"/>
        <n v="13780"/>
        <n v="12823"/>
        <n v="15012"/>
        <n v="14452"/>
        <n v="8711"/>
        <n v="9132"/>
        <n v="7979"/>
        <n v="17103"/>
        <n v="9480"/>
        <n v="10629"/>
        <n v="11741"/>
      </sharedItems>
    </cacheField>
    <cacheField name="docked_bike" numFmtId="0">
      <sharedItems containsSemiMixedTypes="0" containsString="0" containsNumber="1" containsInteger="1" minValue="142" maxValue="4168" count="90">
        <n v="195"/>
        <n v="683"/>
        <n v="2754"/>
        <n v="2612"/>
        <n v="954"/>
        <n v="1668"/>
        <n v="1293"/>
        <n v="215"/>
        <n v="1007"/>
        <n v="360"/>
        <n v="958"/>
        <n v="675"/>
        <n v="428"/>
        <n v="301"/>
        <n v="304"/>
        <n v="598"/>
        <n v="1310"/>
        <n v="1318"/>
        <n v="184"/>
        <n v="142"/>
        <n v="149"/>
        <n v="492"/>
        <n v="720"/>
        <n v="1244"/>
        <n v="564"/>
        <n v="998"/>
        <n v="1414"/>
        <n v="180"/>
        <n v="326"/>
        <n v="668"/>
        <n v="2938"/>
        <n v="3293"/>
        <n v="496"/>
        <n v="289"/>
        <n v="495"/>
        <n v="300"/>
        <n v="708"/>
        <n v="1157"/>
        <n v="399"/>
        <n v="362"/>
        <n v="412"/>
        <n v="543"/>
        <n v="970"/>
        <n v="1533"/>
        <n v="1522"/>
        <n v="2644"/>
        <n v="1053"/>
        <n v="695"/>
        <n v="700"/>
        <n v="1430"/>
        <n v="2241"/>
        <n v="4168"/>
        <n v="2431"/>
        <n v="1670"/>
        <n v="1057"/>
        <n v="1126"/>
        <n v="354"/>
        <n v="224"/>
        <n v="2172"/>
        <n v="3448"/>
        <n v="2523"/>
        <n v="1331"/>
        <n v="1097"/>
        <n v="1511"/>
        <n v="2068"/>
        <n v="3556"/>
        <n v="2876"/>
        <n v="1024"/>
        <n v="1231"/>
        <n v="1487"/>
        <n v="1425"/>
        <n v="2259"/>
        <n v="3250"/>
        <n v="3466"/>
        <n v="1586"/>
        <n v="1421"/>
        <n v="1457"/>
        <n v="1628"/>
        <n v="2192"/>
        <n v="3426"/>
        <n v="1999"/>
        <n v="1205"/>
        <n v="1496"/>
        <n v="1103"/>
        <n v="572"/>
        <n v="940"/>
        <n v="2627"/>
        <n v="822"/>
        <n v="894"/>
        <n v="760"/>
      </sharedItems>
    </cacheField>
    <cacheField name="electric_bike" numFmtId="0">
      <sharedItems containsSemiMixedTypes="0" containsString="0" containsNumber="1" containsInteger="1" minValue="973" maxValue="5994" count="89">
        <n v="1327"/>
        <n v="1887"/>
        <n v="2822"/>
        <n v="2141"/>
        <n v="1657"/>
        <n v="2538"/>
        <n v="2345"/>
        <n v="1032"/>
        <n v="2033"/>
        <n v="973"/>
        <n v="1781"/>
        <n v="1863"/>
        <n v="1922"/>
        <n v="1840"/>
        <n v="1878"/>
        <n v="2174"/>
        <n v="2535"/>
        <n v="2412"/>
        <n v="1451"/>
        <n v="1356"/>
        <n v="1416"/>
        <n v="2222"/>
        <n v="2765"/>
        <n v="2564"/>
        <n v="1512"/>
        <n v="2439"/>
        <n v="2907"/>
        <n v="1375"/>
        <n v="1897"/>
        <n v="2301"/>
        <n v="3340"/>
        <n v="2915"/>
        <n v="1540"/>
        <n v="2467"/>
        <n v="2106"/>
        <n v="2803"/>
        <n v="1506"/>
        <n v="1936"/>
        <n v="2427"/>
        <n v="3024"/>
        <n v="3739"/>
        <n v="4513"/>
        <n v="3324"/>
        <n v="4396"/>
        <n v="3046"/>
        <n v="2741"/>
        <n v="3462"/>
        <n v="3928"/>
        <n v="4776"/>
        <n v="4998"/>
        <n v="3843"/>
        <n v="3797"/>
        <n v="3884"/>
        <n v="3752"/>
        <n v="2639"/>
        <n v="1707"/>
        <n v="3880"/>
        <n v="4429"/>
        <n v="3847"/>
        <n v="3689"/>
        <n v="4342"/>
        <n v="4597"/>
        <n v="4936"/>
        <n v="5994"/>
        <n v="4675"/>
        <n v="3319"/>
        <n v="4366"/>
        <n v="4533"/>
        <n v="4678"/>
        <n v="5648"/>
        <n v="4954"/>
        <n v="4502"/>
        <n v="3930"/>
        <n v="4261"/>
        <n v="4374"/>
        <n v="4522"/>
        <n v="3897"/>
        <n v="3987"/>
        <n v="2609"/>
        <n v="3960"/>
        <n v="4421"/>
        <n v="4165"/>
        <n v="3090"/>
        <n v="3343"/>
        <n v="2708"/>
        <n v="4428"/>
        <n v="3081"/>
        <n v="3108"/>
        <n v="3158"/>
      </sharedItems>
    </cacheField>
    <cacheField name="month" numFmtId="0">
      <sharedItems containsSemiMixedTypes="0" containsString="0" containsNumber="1" containsInteger="1" minValue="4" maxValue="6" count="3">
        <n v="4"/>
        <n v="5"/>
        <n v="6"/>
      </sharedItems>
    </cacheField>
    <cacheField name="Days (started)" numFmtId="0" databaseField="0">
      <fieldGroup base="0">
        <rangePr groupBy="days" startDate="2021-04-01T00:00:00" endDate="2021-07-01T00:00:00"/>
        <groupItems count="368">
          <s v="&lt;01/04/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1"/>
        </groupItems>
      </fieldGroup>
    </cacheField>
    <cacheField name="Months (started)" numFmtId="0" databaseField="0">
      <fieldGroup base="0">
        <rangePr groupBy="months" startDate="2021-04-01T00:00:00" endDate="2021-07-01T00:00:00"/>
        <groupItems count="14">
          <s v="&lt;01/04/2021"/>
          <s v="Jan"/>
          <s v="Feb"/>
          <s v="Mar"/>
          <s v="Apr"/>
          <s v="May"/>
          <s v="Jun"/>
          <s v="Jul"/>
          <s v="Aug"/>
          <s v="Sep"/>
          <s v="Oct"/>
          <s v="Nov"/>
          <s v="Dec"/>
          <s v="&gt;01/07/2021"/>
        </groupItems>
      </fieldGroup>
    </cacheField>
  </cacheFields>
  <extLst>
    <ext xmlns:x14="http://schemas.microsoft.com/office/spreadsheetml/2009/9/main" uri="{725AE2AE-9491-48be-B2B4-4EB974FC3084}">
      <x14:pivotCacheDefinition pivotCacheId="141840313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8.007948842591" createdVersion="8" refreshedVersion="8" minRefreshableVersion="3" recordCount="91" xr:uid="{1D26ED5E-D27D-4378-99B5-C09E98B3582A}">
  <cacheSource type="worksheet">
    <worksheetSource name="daily_data__1"/>
  </cacheSource>
  <cacheFields count="6">
    <cacheField name="started" numFmtId="14">
      <sharedItems containsSemiMixedTypes="0" containsNonDate="0" containsDate="1" containsString="0" minDate="2021-04-01T00:00:00" maxDate="2021-07-01T00:00:00" count="91">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sharedItems>
      <fieldGroup par="5"/>
    </cacheField>
    <cacheField name="ride_id" numFmtId="0">
      <sharedItems containsSemiMixedTypes="0" containsString="0" containsNumber="1" containsInteger="1" minValue="4645" maxValue="31261"/>
    </cacheField>
    <cacheField name="casual" numFmtId="0">
      <sharedItems containsSemiMixedTypes="0" containsString="0" containsNumber="1" containsInteger="1" minValue="1258" maxValue="19682"/>
    </cacheField>
    <cacheField name="member" numFmtId="0">
      <sharedItems containsSemiMixedTypes="0" containsString="0" containsNumber="1" containsInteger="1" minValue="2838" maxValue="12205"/>
    </cacheField>
    <cacheField name="Days (started)" numFmtId="0" databaseField="0">
      <fieldGroup base="0">
        <rangePr groupBy="days" startDate="2021-04-01T00:00:00" endDate="2021-07-01T00:00:00"/>
        <groupItems count="368">
          <s v="&lt;01/04/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1"/>
        </groupItems>
      </fieldGroup>
    </cacheField>
    <cacheField name="Months (started)" numFmtId="0" databaseField="0">
      <fieldGroup base="0">
        <rangePr groupBy="months" startDate="2021-04-01T00:00:00" endDate="2021-07-01T00:00:00"/>
        <groupItems count="14">
          <s v="&lt;01/04/2021"/>
          <s v="Jan"/>
          <s v="Feb"/>
          <s v="Mar"/>
          <s v="Apr"/>
          <s v="May"/>
          <s v="Jun"/>
          <s v="Jul"/>
          <s v="Aug"/>
          <s v="Sep"/>
          <s v="Oct"/>
          <s v="Nov"/>
          <s v="Dec"/>
          <s v="&gt;01/07/2021"/>
        </groupItems>
      </fieldGroup>
    </cacheField>
  </cacheFields>
  <extLst>
    <ext xmlns:x14="http://schemas.microsoft.com/office/spreadsheetml/2009/9/main" uri="{725AE2AE-9491-48be-B2B4-4EB974FC3084}">
      <x14:pivotCacheDefinition pivotCacheId="16972569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x v="0"/>
    <n v="4812"/>
    <x v="0"/>
    <n v="4"/>
  </r>
  <r>
    <x v="1"/>
    <n v="8217"/>
    <x v="1"/>
    <n v="4"/>
  </r>
  <r>
    <x v="2"/>
    <n v="17934"/>
    <x v="2"/>
    <n v="4"/>
  </r>
  <r>
    <x v="3"/>
    <n v="15919"/>
    <x v="3"/>
    <n v="4"/>
  </r>
  <r>
    <x v="4"/>
    <n v="10248"/>
    <x v="4"/>
    <n v="4"/>
  </r>
  <r>
    <x v="5"/>
    <n v="15543"/>
    <x v="5"/>
    <n v="4"/>
  </r>
  <r>
    <x v="6"/>
    <n v="14058"/>
    <x v="6"/>
    <n v="4"/>
  </r>
  <r>
    <x v="7"/>
    <n v="4645"/>
    <x v="0"/>
    <n v="4"/>
  </r>
  <r>
    <x v="8"/>
    <n v="11047"/>
    <x v="1"/>
    <n v="4"/>
  </r>
  <r>
    <x v="9"/>
    <n v="4764"/>
    <x v="2"/>
    <n v="4"/>
  </r>
  <r>
    <x v="10"/>
    <n v="9813"/>
    <x v="3"/>
    <n v="4"/>
  </r>
  <r>
    <x v="11"/>
    <n v="9884"/>
    <x v="4"/>
    <n v="4"/>
  </r>
  <r>
    <x v="12"/>
    <n v="8937"/>
    <x v="5"/>
    <n v="4"/>
  </r>
  <r>
    <x v="13"/>
    <n v="7373"/>
    <x v="6"/>
    <n v="4"/>
  </r>
  <r>
    <x v="14"/>
    <n v="7613"/>
    <x v="0"/>
    <n v="4"/>
  </r>
  <r>
    <x v="15"/>
    <n v="9728"/>
    <x v="1"/>
    <n v="4"/>
  </r>
  <r>
    <x v="16"/>
    <n v="12548"/>
    <x v="2"/>
    <n v="4"/>
  </r>
  <r>
    <x v="17"/>
    <n v="11891"/>
    <x v="3"/>
    <n v="4"/>
  </r>
  <r>
    <x v="18"/>
    <n v="5883"/>
    <x v="4"/>
    <n v="4"/>
  </r>
  <r>
    <x v="19"/>
    <n v="5561"/>
    <x v="5"/>
    <n v="4"/>
  </r>
  <r>
    <x v="20"/>
    <n v="5671"/>
    <x v="6"/>
    <n v="4"/>
  </r>
  <r>
    <x v="21"/>
    <n v="9492"/>
    <x v="0"/>
    <n v="4"/>
  </r>
  <r>
    <x v="22"/>
    <n v="11813"/>
    <x v="1"/>
    <n v="4"/>
  </r>
  <r>
    <x v="23"/>
    <n v="13328"/>
    <x v="2"/>
    <n v="4"/>
  </r>
  <r>
    <x v="24"/>
    <n v="7717"/>
    <x v="3"/>
    <n v="4"/>
  </r>
  <r>
    <x v="25"/>
    <n v="12754"/>
    <x v="4"/>
    <n v="4"/>
  </r>
  <r>
    <x v="26"/>
    <n v="16214"/>
    <x v="5"/>
    <n v="4"/>
  </r>
  <r>
    <x v="27"/>
    <n v="5780"/>
    <x v="6"/>
    <n v="4"/>
  </r>
  <r>
    <x v="28"/>
    <n v="8443"/>
    <x v="0"/>
    <n v="4"/>
  </r>
  <r>
    <x v="29"/>
    <n v="10577"/>
    <x v="1"/>
    <n v="4"/>
  </r>
  <r>
    <x v="30"/>
    <n v="21690"/>
    <x v="2"/>
    <n v="5"/>
  </r>
  <r>
    <x v="31"/>
    <n v="22206"/>
    <x v="3"/>
    <n v="5"/>
  </r>
  <r>
    <x v="32"/>
    <n v="8531"/>
    <x v="4"/>
    <n v="5"/>
  </r>
  <r>
    <x v="33"/>
    <n v="7884"/>
    <x v="5"/>
    <n v="5"/>
  </r>
  <r>
    <x v="34"/>
    <n v="10693"/>
    <x v="6"/>
    <n v="5"/>
  </r>
  <r>
    <x v="35"/>
    <n v="8006"/>
    <x v="0"/>
    <n v="5"/>
  </r>
  <r>
    <x v="36"/>
    <n v="11233"/>
    <x v="1"/>
    <n v="5"/>
  </r>
  <r>
    <x v="37"/>
    <n v="12929"/>
    <x v="2"/>
    <n v="5"/>
  </r>
  <r>
    <x v="38"/>
    <n v="6071"/>
    <x v="3"/>
    <n v="5"/>
  </r>
  <r>
    <x v="39"/>
    <n v="7876"/>
    <x v="4"/>
    <n v="5"/>
  </r>
  <r>
    <x v="40"/>
    <n v="9380"/>
    <x v="5"/>
    <n v="5"/>
  </r>
  <r>
    <x v="41"/>
    <n v="11428"/>
    <x v="6"/>
    <n v="5"/>
  </r>
  <r>
    <x v="42"/>
    <n v="14119"/>
    <x v="0"/>
    <n v="5"/>
  </r>
  <r>
    <x v="43"/>
    <n v="17265"/>
    <x v="1"/>
    <n v="5"/>
  </r>
  <r>
    <x v="44"/>
    <n v="13049"/>
    <x v="2"/>
    <n v="5"/>
  </r>
  <r>
    <x v="45"/>
    <n v="20364"/>
    <x v="3"/>
    <n v="5"/>
  </r>
  <r>
    <x v="46"/>
    <n v="12795"/>
    <x v="4"/>
    <n v="5"/>
  </r>
  <r>
    <x v="47"/>
    <n v="10549"/>
    <x v="5"/>
    <n v="5"/>
  </r>
  <r>
    <x v="48"/>
    <n v="13406"/>
    <x v="6"/>
    <n v="5"/>
  </r>
  <r>
    <x v="49"/>
    <n v="17304"/>
    <x v="0"/>
    <n v="5"/>
  </r>
  <r>
    <x v="50"/>
    <n v="20889"/>
    <x v="1"/>
    <n v="5"/>
  </r>
  <r>
    <x v="51"/>
    <n v="30104"/>
    <x v="2"/>
    <n v="5"/>
  </r>
  <r>
    <x v="52"/>
    <n v="18677"/>
    <x v="3"/>
    <n v="5"/>
  </r>
  <r>
    <x v="53"/>
    <n v="16910"/>
    <x v="4"/>
    <n v="5"/>
  </r>
  <r>
    <x v="54"/>
    <n v="15846"/>
    <x v="5"/>
    <n v="5"/>
  </r>
  <r>
    <x v="55"/>
    <n v="17105"/>
    <x v="6"/>
    <n v="5"/>
  </r>
  <r>
    <x v="56"/>
    <n v="9676"/>
    <x v="0"/>
    <n v="5"/>
  </r>
  <r>
    <x v="57"/>
    <n v="5682"/>
    <x v="1"/>
    <n v="5"/>
  </r>
  <r>
    <x v="58"/>
    <n v="18111"/>
    <x v="2"/>
    <n v="5"/>
  </r>
  <r>
    <x v="59"/>
    <n v="22761"/>
    <x v="3"/>
    <n v="5"/>
  </r>
  <r>
    <x v="60"/>
    <n v="18455"/>
    <x v="4"/>
    <n v="5"/>
  </r>
  <r>
    <x v="61"/>
    <n v="16354"/>
    <x v="5"/>
    <n v="6"/>
  </r>
  <r>
    <x v="62"/>
    <n v="17081"/>
    <x v="6"/>
    <n v="6"/>
  </r>
  <r>
    <x v="63"/>
    <n v="19631"/>
    <x v="0"/>
    <n v="6"/>
  </r>
  <r>
    <x v="64"/>
    <n v="21521"/>
    <x v="1"/>
    <n v="6"/>
  </r>
  <r>
    <x v="65"/>
    <n v="30320"/>
    <x v="2"/>
    <n v="6"/>
  </r>
  <r>
    <x v="66"/>
    <n v="24527"/>
    <x v="3"/>
    <n v="6"/>
  </r>
  <r>
    <x v="67"/>
    <n v="14793"/>
    <x v="4"/>
    <n v="6"/>
  </r>
  <r>
    <x v="68"/>
    <n v="18815"/>
    <x v="5"/>
    <n v="6"/>
  </r>
  <r>
    <x v="69"/>
    <n v="20676"/>
    <x v="6"/>
    <n v="6"/>
  </r>
  <r>
    <x v="70"/>
    <n v="21281"/>
    <x v="0"/>
    <n v="6"/>
  </r>
  <r>
    <x v="71"/>
    <n v="24869"/>
    <x v="1"/>
    <n v="6"/>
  </r>
  <r>
    <x v="72"/>
    <n v="28841"/>
    <x v="2"/>
    <n v="6"/>
  </r>
  <r>
    <x v="73"/>
    <n v="29919"/>
    <x v="3"/>
    <n v="6"/>
  </r>
  <r>
    <x v="74"/>
    <n v="19366"/>
    <x v="4"/>
    <n v="6"/>
  </r>
  <r>
    <x v="75"/>
    <n v="20333"/>
    <x v="5"/>
    <n v="6"/>
  </r>
  <r>
    <x v="76"/>
    <n v="21539"/>
    <x v="6"/>
    <n v="6"/>
  </r>
  <r>
    <x v="77"/>
    <n v="21771"/>
    <x v="0"/>
    <n v="6"/>
  </r>
  <r>
    <x v="78"/>
    <n v="23542"/>
    <x v="1"/>
    <n v="6"/>
  </r>
  <r>
    <x v="79"/>
    <n v="31261"/>
    <x v="2"/>
    <n v="6"/>
  </r>
  <r>
    <x v="80"/>
    <n v="18388"/>
    <x v="3"/>
    <n v="6"/>
  </r>
  <r>
    <x v="81"/>
    <n v="17988"/>
    <x v="4"/>
    <n v="6"/>
  </r>
  <r>
    <x v="82"/>
    <n v="20929"/>
    <x v="5"/>
    <n v="6"/>
  </r>
  <r>
    <x v="83"/>
    <n v="19720"/>
    <x v="6"/>
    <n v="6"/>
  </r>
  <r>
    <x v="84"/>
    <n v="12373"/>
    <x v="0"/>
    <n v="6"/>
  </r>
  <r>
    <x v="85"/>
    <n v="13415"/>
    <x v="1"/>
    <n v="6"/>
  </r>
  <r>
    <x v="86"/>
    <n v="11694"/>
    <x v="2"/>
    <n v="6"/>
  </r>
  <r>
    <x v="87"/>
    <n v="24158"/>
    <x v="3"/>
    <n v="6"/>
  </r>
  <r>
    <x v="88"/>
    <n v="13383"/>
    <x v="4"/>
    <n v="6"/>
  </r>
  <r>
    <x v="89"/>
    <n v="14631"/>
    <x v="5"/>
    <n v="6"/>
  </r>
  <r>
    <x v="90"/>
    <n v="15659"/>
    <x v="6"/>
    <n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x v="0"/>
    <x v="0"/>
    <x v="0"/>
    <x v="0"/>
    <x v="0"/>
    <x v="0"/>
  </r>
  <r>
    <x v="1"/>
    <x v="1"/>
    <x v="1"/>
    <x v="1"/>
    <x v="1"/>
    <x v="0"/>
  </r>
  <r>
    <x v="2"/>
    <x v="2"/>
    <x v="2"/>
    <x v="2"/>
    <x v="2"/>
    <x v="0"/>
  </r>
  <r>
    <x v="3"/>
    <x v="3"/>
    <x v="3"/>
    <x v="3"/>
    <x v="3"/>
    <x v="0"/>
  </r>
  <r>
    <x v="4"/>
    <x v="4"/>
    <x v="4"/>
    <x v="4"/>
    <x v="4"/>
    <x v="0"/>
  </r>
  <r>
    <x v="5"/>
    <x v="5"/>
    <x v="5"/>
    <x v="5"/>
    <x v="5"/>
    <x v="0"/>
  </r>
  <r>
    <x v="6"/>
    <x v="6"/>
    <x v="6"/>
    <x v="6"/>
    <x v="6"/>
    <x v="0"/>
  </r>
  <r>
    <x v="7"/>
    <x v="7"/>
    <x v="7"/>
    <x v="7"/>
    <x v="7"/>
    <x v="0"/>
  </r>
  <r>
    <x v="8"/>
    <x v="8"/>
    <x v="8"/>
    <x v="8"/>
    <x v="8"/>
    <x v="0"/>
  </r>
  <r>
    <x v="9"/>
    <x v="9"/>
    <x v="9"/>
    <x v="9"/>
    <x v="9"/>
    <x v="0"/>
  </r>
  <r>
    <x v="10"/>
    <x v="10"/>
    <x v="10"/>
    <x v="10"/>
    <x v="10"/>
    <x v="0"/>
  </r>
  <r>
    <x v="11"/>
    <x v="11"/>
    <x v="11"/>
    <x v="11"/>
    <x v="11"/>
    <x v="0"/>
  </r>
  <r>
    <x v="12"/>
    <x v="12"/>
    <x v="12"/>
    <x v="12"/>
    <x v="12"/>
    <x v="0"/>
  </r>
  <r>
    <x v="13"/>
    <x v="13"/>
    <x v="13"/>
    <x v="13"/>
    <x v="13"/>
    <x v="0"/>
  </r>
  <r>
    <x v="14"/>
    <x v="14"/>
    <x v="14"/>
    <x v="14"/>
    <x v="14"/>
    <x v="0"/>
  </r>
  <r>
    <x v="15"/>
    <x v="15"/>
    <x v="15"/>
    <x v="15"/>
    <x v="15"/>
    <x v="0"/>
  </r>
  <r>
    <x v="16"/>
    <x v="16"/>
    <x v="16"/>
    <x v="16"/>
    <x v="16"/>
    <x v="0"/>
  </r>
  <r>
    <x v="17"/>
    <x v="17"/>
    <x v="17"/>
    <x v="17"/>
    <x v="17"/>
    <x v="0"/>
  </r>
  <r>
    <x v="18"/>
    <x v="18"/>
    <x v="18"/>
    <x v="18"/>
    <x v="18"/>
    <x v="0"/>
  </r>
  <r>
    <x v="19"/>
    <x v="19"/>
    <x v="19"/>
    <x v="19"/>
    <x v="19"/>
    <x v="0"/>
  </r>
  <r>
    <x v="20"/>
    <x v="20"/>
    <x v="20"/>
    <x v="20"/>
    <x v="20"/>
    <x v="0"/>
  </r>
  <r>
    <x v="21"/>
    <x v="21"/>
    <x v="21"/>
    <x v="21"/>
    <x v="21"/>
    <x v="0"/>
  </r>
  <r>
    <x v="22"/>
    <x v="22"/>
    <x v="22"/>
    <x v="22"/>
    <x v="22"/>
    <x v="0"/>
  </r>
  <r>
    <x v="23"/>
    <x v="23"/>
    <x v="23"/>
    <x v="23"/>
    <x v="23"/>
    <x v="0"/>
  </r>
  <r>
    <x v="24"/>
    <x v="24"/>
    <x v="24"/>
    <x v="24"/>
    <x v="24"/>
    <x v="0"/>
  </r>
  <r>
    <x v="25"/>
    <x v="25"/>
    <x v="25"/>
    <x v="25"/>
    <x v="25"/>
    <x v="0"/>
  </r>
  <r>
    <x v="26"/>
    <x v="26"/>
    <x v="26"/>
    <x v="26"/>
    <x v="26"/>
    <x v="0"/>
  </r>
  <r>
    <x v="27"/>
    <x v="27"/>
    <x v="27"/>
    <x v="27"/>
    <x v="27"/>
    <x v="0"/>
  </r>
  <r>
    <x v="28"/>
    <x v="28"/>
    <x v="28"/>
    <x v="28"/>
    <x v="28"/>
    <x v="0"/>
  </r>
  <r>
    <x v="29"/>
    <x v="29"/>
    <x v="29"/>
    <x v="29"/>
    <x v="29"/>
    <x v="0"/>
  </r>
  <r>
    <x v="30"/>
    <x v="30"/>
    <x v="30"/>
    <x v="30"/>
    <x v="30"/>
    <x v="1"/>
  </r>
  <r>
    <x v="31"/>
    <x v="31"/>
    <x v="31"/>
    <x v="31"/>
    <x v="31"/>
    <x v="1"/>
  </r>
  <r>
    <x v="32"/>
    <x v="32"/>
    <x v="32"/>
    <x v="32"/>
    <x v="32"/>
    <x v="1"/>
  </r>
  <r>
    <x v="33"/>
    <x v="33"/>
    <x v="33"/>
    <x v="33"/>
    <x v="10"/>
    <x v="1"/>
  </r>
  <r>
    <x v="34"/>
    <x v="34"/>
    <x v="34"/>
    <x v="34"/>
    <x v="33"/>
    <x v="1"/>
  </r>
  <r>
    <x v="35"/>
    <x v="35"/>
    <x v="35"/>
    <x v="35"/>
    <x v="34"/>
    <x v="1"/>
  </r>
  <r>
    <x v="36"/>
    <x v="36"/>
    <x v="36"/>
    <x v="36"/>
    <x v="22"/>
    <x v="1"/>
  </r>
  <r>
    <x v="37"/>
    <x v="37"/>
    <x v="37"/>
    <x v="37"/>
    <x v="35"/>
    <x v="1"/>
  </r>
  <r>
    <x v="38"/>
    <x v="38"/>
    <x v="38"/>
    <x v="38"/>
    <x v="36"/>
    <x v="1"/>
  </r>
  <r>
    <x v="39"/>
    <x v="39"/>
    <x v="39"/>
    <x v="39"/>
    <x v="37"/>
    <x v="1"/>
  </r>
  <r>
    <x v="40"/>
    <x v="40"/>
    <x v="40"/>
    <x v="40"/>
    <x v="38"/>
    <x v="1"/>
  </r>
  <r>
    <x v="41"/>
    <x v="41"/>
    <x v="41"/>
    <x v="41"/>
    <x v="39"/>
    <x v="1"/>
  </r>
  <r>
    <x v="42"/>
    <x v="42"/>
    <x v="42"/>
    <x v="42"/>
    <x v="40"/>
    <x v="1"/>
  </r>
  <r>
    <x v="43"/>
    <x v="43"/>
    <x v="43"/>
    <x v="43"/>
    <x v="41"/>
    <x v="1"/>
  </r>
  <r>
    <x v="44"/>
    <x v="44"/>
    <x v="44"/>
    <x v="44"/>
    <x v="42"/>
    <x v="1"/>
  </r>
  <r>
    <x v="45"/>
    <x v="45"/>
    <x v="45"/>
    <x v="45"/>
    <x v="43"/>
    <x v="1"/>
  </r>
  <r>
    <x v="46"/>
    <x v="46"/>
    <x v="46"/>
    <x v="46"/>
    <x v="44"/>
    <x v="1"/>
  </r>
  <r>
    <x v="47"/>
    <x v="47"/>
    <x v="47"/>
    <x v="47"/>
    <x v="45"/>
    <x v="1"/>
  </r>
  <r>
    <x v="48"/>
    <x v="48"/>
    <x v="48"/>
    <x v="48"/>
    <x v="46"/>
    <x v="1"/>
  </r>
  <r>
    <x v="49"/>
    <x v="49"/>
    <x v="49"/>
    <x v="49"/>
    <x v="47"/>
    <x v="1"/>
  </r>
  <r>
    <x v="50"/>
    <x v="50"/>
    <x v="50"/>
    <x v="50"/>
    <x v="48"/>
    <x v="1"/>
  </r>
  <r>
    <x v="51"/>
    <x v="51"/>
    <x v="51"/>
    <x v="51"/>
    <x v="49"/>
    <x v="1"/>
  </r>
  <r>
    <x v="52"/>
    <x v="52"/>
    <x v="52"/>
    <x v="52"/>
    <x v="50"/>
    <x v="1"/>
  </r>
  <r>
    <x v="53"/>
    <x v="53"/>
    <x v="53"/>
    <x v="53"/>
    <x v="51"/>
    <x v="1"/>
  </r>
  <r>
    <x v="54"/>
    <x v="54"/>
    <x v="54"/>
    <x v="54"/>
    <x v="52"/>
    <x v="1"/>
  </r>
  <r>
    <x v="55"/>
    <x v="55"/>
    <x v="55"/>
    <x v="55"/>
    <x v="53"/>
    <x v="1"/>
  </r>
  <r>
    <x v="56"/>
    <x v="56"/>
    <x v="56"/>
    <x v="56"/>
    <x v="54"/>
    <x v="1"/>
  </r>
  <r>
    <x v="57"/>
    <x v="57"/>
    <x v="57"/>
    <x v="57"/>
    <x v="55"/>
    <x v="1"/>
  </r>
  <r>
    <x v="58"/>
    <x v="58"/>
    <x v="58"/>
    <x v="58"/>
    <x v="56"/>
    <x v="1"/>
  </r>
  <r>
    <x v="59"/>
    <x v="59"/>
    <x v="59"/>
    <x v="59"/>
    <x v="57"/>
    <x v="1"/>
  </r>
  <r>
    <x v="60"/>
    <x v="60"/>
    <x v="60"/>
    <x v="60"/>
    <x v="58"/>
    <x v="1"/>
  </r>
  <r>
    <x v="61"/>
    <x v="61"/>
    <x v="61"/>
    <x v="61"/>
    <x v="59"/>
    <x v="2"/>
  </r>
  <r>
    <x v="62"/>
    <x v="62"/>
    <x v="62"/>
    <x v="62"/>
    <x v="60"/>
    <x v="2"/>
  </r>
  <r>
    <x v="63"/>
    <x v="63"/>
    <x v="63"/>
    <x v="63"/>
    <x v="61"/>
    <x v="2"/>
  </r>
  <r>
    <x v="64"/>
    <x v="64"/>
    <x v="64"/>
    <x v="64"/>
    <x v="62"/>
    <x v="2"/>
  </r>
  <r>
    <x v="65"/>
    <x v="65"/>
    <x v="65"/>
    <x v="65"/>
    <x v="63"/>
    <x v="2"/>
  </r>
  <r>
    <x v="66"/>
    <x v="66"/>
    <x v="66"/>
    <x v="66"/>
    <x v="64"/>
    <x v="2"/>
  </r>
  <r>
    <x v="67"/>
    <x v="67"/>
    <x v="67"/>
    <x v="67"/>
    <x v="65"/>
    <x v="2"/>
  </r>
  <r>
    <x v="68"/>
    <x v="68"/>
    <x v="68"/>
    <x v="68"/>
    <x v="66"/>
    <x v="2"/>
  </r>
  <r>
    <x v="69"/>
    <x v="69"/>
    <x v="69"/>
    <x v="69"/>
    <x v="67"/>
    <x v="2"/>
  </r>
  <r>
    <x v="70"/>
    <x v="70"/>
    <x v="70"/>
    <x v="70"/>
    <x v="68"/>
    <x v="2"/>
  </r>
  <r>
    <x v="71"/>
    <x v="71"/>
    <x v="71"/>
    <x v="71"/>
    <x v="69"/>
    <x v="2"/>
  </r>
  <r>
    <x v="72"/>
    <x v="72"/>
    <x v="72"/>
    <x v="72"/>
    <x v="70"/>
    <x v="2"/>
  </r>
  <r>
    <x v="73"/>
    <x v="73"/>
    <x v="73"/>
    <x v="73"/>
    <x v="71"/>
    <x v="2"/>
  </r>
  <r>
    <x v="74"/>
    <x v="74"/>
    <x v="74"/>
    <x v="74"/>
    <x v="72"/>
    <x v="2"/>
  </r>
  <r>
    <x v="75"/>
    <x v="75"/>
    <x v="75"/>
    <x v="75"/>
    <x v="73"/>
    <x v="2"/>
  </r>
  <r>
    <x v="76"/>
    <x v="76"/>
    <x v="76"/>
    <x v="76"/>
    <x v="74"/>
    <x v="2"/>
  </r>
  <r>
    <x v="77"/>
    <x v="77"/>
    <x v="77"/>
    <x v="77"/>
    <x v="75"/>
    <x v="2"/>
  </r>
  <r>
    <x v="78"/>
    <x v="78"/>
    <x v="78"/>
    <x v="78"/>
    <x v="76"/>
    <x v="2"/>
  </r>
  <r>
    <x v="79"/>
    <x v="79"/>
    <x v="79"/>
    <x v="79"/>
    <x v="77"/>
    <x v="2"/>
  </r>
  <r>
    <x v="80"/>
    <x v="80"/>
    <x v="80"/>
    <x v="80"/>
    <x v="78"/>
    <x v="2"/>
  </r>
  <r>
    <x v="81"/>
    <x v="81"/>
    <x v="81"/>
    <x v="81"/>
    <x v="79"/>
    <x v="2"/>
  </r>
  <r>
    <x v="82"/>
    <x v="82"/>
    <x v="82"/>
    <x v="82"/>
    <x v="80"/>
    <x v="2"/>
  </r>
  <r>
    <x v="83"/>
    <x v="83"/>
    <x v="83"/>
    <x v="83"/>
    <x v="81"/>
    <x v="2"/>
  </r>
  <r>
    <x v="84"/>
    <x v="84"/>
    <x v="84"/>
    <x v="84"/>
    <x v="82"/>
    <x v="2"/>
  </r>
  <r>
    <x v="85"/>
    <x v="85"/>
    <x v="85"/>
    <x v="85"/>
    <x v="83"/>
    <x v="2"/>
  </r>
  <r>
    <x v="86"/>
    <x v="86"/>
    <x v="86"/>
    <x v="8"/>
    <x v="84"/>
    <x v="2"/>
  </r>
  <r>
    <x v="87"/>
    <x v="87"/>
    <x v="87"/>
    <x v="86"/>
    <x v="85"/>
    <x v="2"/>
  </r>
  <r>
    <x v="88"/>
    <x v="88"/>
    <x v="88"/>
    <x v="87"/>
    <x v="86"/>
    <x v="2"/>
  </r>
  <r>
    <x v="89"/>
    <x v="89"/>
    <x v="89"/>
    <x v="88"/>
    <x v="87"/>
    <x v="2"/>
  </r>
  <r>
    <x v="90"/>
    <x v="90"/>
    <x v="90"/>
    <x v="89"/>
    <x v="88"/>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x v="0"/>
    <n v="4812"/>
    <n v="1258"/>
    <n v="3554"/>
  </r>
  <r>
    <x v="1"/>
    <n v="8217"/>
    <n v="3152"/>
    <n v="5065"/>
  </r>
  <r>
    <x v="2"/>
    <n v="17934"/>
    <n v="10249"/>
    <n v="7685"/>
  </r>
  <r>
    <x v="3"/>
    <n v="15919"/>
    <n v="9248"/>
    <n v="6671"/>
  </r>
  <r>
    <x v="4"/>
    <n v="10248"/>
    <n v="4063"/>
    <n v="6185"/>
  </r>
  <r>
    <x v="5"/>
    <n v="15543"/>
    <n v="6970"/>
    <n v="8573"/>
  </r>
  <r>
    <x v="6"/>
    <n v="14058"/>
    <n v="5742"/>
    <n v="8316"/>
  </r>
  <r>
    <x v="7"/>
    <n v="4645"/>
    <n v="1260"/>
    <n v="3385"/>
  </r>
  <r>
    <x v="8"/>
    <n v="11047"/>
    <n v="4521"/>
    <n v="6526"/>
  </r>
  <r>
    <x v="9"/>
    <n v="4764"/>
    <n v="1926"/>
    <n v="2838"/>
  </r>
  <r>
    <x v="10"/>
    <n v="9813"/>
    <n v="4595"/>
    <n v="5218"/>
  </r>
  <r>
    <x v="11"/>
    <n v="9884"/>
    <n v="3433"/>
    <n v="6451"/>
  </r>
  <r>
    <x v="12"/>
    <n v="8937"/>
    <n v="2637"/>
    <n v="6300"/>
  </r>
  <r>
    <x v="13"/>
    <n v="7373"/>
    <n v="1901"/>
    <n v="5472"/>
  </r>
  <r>
    <x v="14"/>
    <n v="7613"/>
    <n v="2168"/>
    <n v="5445"/>
  </r>
  <r>
    <x v="15"/>
    <n v="9728"/>
    <n v="3527"/>
    <n v="6201"/>
  </r>
  <r>
    <x v="16"/>
    <n v="12548"/>
    <n v="6261"/>
    <n v="6287"/>
  </r>
  <r>
    <x v="17"/>
    <n v="11891"/>
    <n v="5763"/>
    <n v="6128"/>
  </r>
  <r>
    <x v="18"/>
    <n v="5883"/>
    <n v="1487"/>
    <n v="4396"/>
  </r>
  <r>
    <x v="19"/>
    <n v="5561"/>
    <n v="1293"/>
    <n v="4268"/>
  </r>
  <r>
    <x v="20"/>
    <n v="5671"/>
    <n v="1321"/>
    <n v="4350"/>
  </r>
  <r>
    <x v="21"/>
    <n v="9492"/>
    <n v="3122"/>
    <n v="6370"/>
  </r>
  <r>
    <x v="22"/>
    <n v="11813"/>
    <n v="4607"/>
    <n v="7206"/>
  </r>
  <r>
    <x v="23"/>
    <n v="13328"/>
    <n v="6575"/>
    <n v="6753"/>
  </r>
  <r>
    <x v="24"/>
    <n v="7717"/>
    <n v="3262"/>
    <n v="4455"/>
  </r>
  <r>
    <x v="25"/>
    <n v="12754"/>
    <n v="5076"/>
    <n v="7678"/>
  </r>
  <r>
    <x v="26"/>
    <n v="16214"/>
    <n v="7029"/>
    <n v="9185"/>
  </r>
  <r>
    <x v="27"/>
    <n v="5780"/>
    <n v="1384"/>
    <n v="4396"/>
  </r>
  <r>
    <x v="28"/>
    <n v="8443"/>
    <n v="2598"/>
    <n v="5845"/>
  </r>
  <r>
    <x v="29"/>
    <n v="10577"/>
    <n v="3992"/>
    <n v="6585"/>
  </r>
  <r>
    <x v="30"/>
    <n v="21690"/>
    <n v="12839"/>
    <n v="8851"/>
  </r>
  <r>
    <x v="31"/>
    <n v="22206"/>
    <n v="13549"/>
    <n v="8657"/>
  </r>
  <r>
    <x v="32"/>
    <n v="8531"/>
    <n v="3023"/>
    <n v="5508"/>
  </r>
  <r>
    <x v="33"/>
    <n v="7884"/>
    <n v="2194"/>
    <n v="5690"/>
  </r>
  <r>
    <x v="34"/>
    <n v="10693"/>
    <n v="3449"/>
    <n v="7244"/>
  </r>
  <r>
    <x v="35"/>
    <n v="8006"/>
    <n v="2456"/>
    <n v="5550"/>
  </r>
  <r>
    <x v="36"/>
    <n v="11233"/>
    <n v="4405"/>
    <n v="6828"/>
  </r>
  <r>
    <x v="37"/>
    <n v="12929"/>
    <n v="6501"/>
    <n v="6428"/>
  </r>
  <r>
    <x v="38"/>
    <n v="6071"/>
    <n v="2617"/>
    <n v="3454"/>
  </r>
  <r>
    <x v="39"/>
    <n v="7876"/>
    <n v="2413"/>
    <n v="5463"/>
  </r>
  <r>
    <x v="40"/>
    <n v="9380"/>
    <n v="2842"/>
    <n v="6538"/>
  </r>
  <r>
    <x v="41"/>
    <n v="11428"/>
    <n v="3745"/>
    <n v="7683"/>
  </r>
  <r>
    <x v="42"/>
    <n v="14119"/>
    <n v="5489"/>
    <n v="8630"/>
  </r>
  <r>
    <x v="43"/>
    <n v="17265"/>
    <n v="8057"/>
    <n v="9208"/>
  </r>
  <r>
    <x v="44"/>
    <n v="13049"/>
    <n v="7117"/>
    <n v="5932"/>
  </r>
  <r>
    <x v="45"/>
    <n v="20364"/>
    <n v="11898"/>
    <n v="8466"/>
  </r>
  <r>
    <x v="46"/>
    <n v="12795"/>
    <n v="4972"/>
    <n v="7823"/>
  </r>
  <r>
    <x v="47"/>
    <n v="10549"/>
    <n v="3699"/>
    <n v="6850"/>
  </r>
  <r>
    <x v="48"/>
    <n v="13406"/>
    <n v="4783"/>
    <n v="8623"/>
  </r>
  <r>
    <x v="49"/>
    <n v="17304"/>
    <n v="7551"/>
    <n v="9753"/>
  </r>
  <r>
    <x v="50"/>
    <n v="20889"/>
    <n v="10601"/>
    <n v="10288"/>
  </r>
  <r>
    <x v="51"/>
    <n v="30104"/>
    <n v="19119"/>
    <n v="10985"/>
  </r>
  <r>
    <x v="52"/>
    <n v="18677"/>
    <n v="10974"/>
    <n v="7703"/>
  </r>
  <r>
    <x v="53"/>
    <n v="16910"/>
    <n v="7409"/>
    <n v="9501"/>
  </r>
  <r>
    <x v="54"/>
    <n v="15846"/>
    <n v="6257"/>
    <n v="9589"/>
  </r>
  <r>
    <x v="55"/>
    <n v="17105"/>
    <n v="6950"/>
    <n v="10155"/>
  </r>
  <r>
    <x v="56"/>
    <n v="9676"/>
    <n v="3090"/>
    <n v="6586"/>
  </r>
  <r>
    <x v="57"/>
    <n v="5682"/>
    <n v="1896"/>
    <n v="3786"/>
  </r>
  <r>
    <x v="58"/>
    <n v="18111"/>
    <n v="10651"/>
    <n v="7460"/>
  </r>
  <r>
    <x v="59"/>
    <n v="22761"/>
    <n v="15094"/>
    <n v="7667"/>
  </r>
  <r>
    <x v="60"/>
    <n v="18455"/>
    <n v="11189"/>
    <n v="7266"/>
  </r>
  <r>
    <x v="61"/>
    <n v="16354"/>
    <n v="6918"/>
    <n v="9436"/>
  </r>
  <r>
    <x v="62"/>
    <n v="17081"/>
    <n v="6727"/>
    <n v="10354"/>
  </r>
  <r>
    <x v="63"/>
    <n v="19631"/>
    <n v="8692"/>
    <n v="10939"/>
  </r>
  <r>
    <x v="64"/>
    <n v="21521"/>
    <n v="10803"/>
    <n v="10718"/>
  </r>
  <r>
    <x v="65"/>
    <n v="30320"/>
    <n v="19113"/>
    <n v="11207"/>
  </r>
  <r>
    <x v="66"/>
    <n v="24527"/>
    <n v="14852"/>
    <n v="9675"/>
  </r>
  <r>
    <x v="67"/>
    <n v="14793"/>
    <n v="6214"/>
    <n v="8579"/>
  </r>
  <r>
    <x v="68"/>
    <n v="18815"/>
    <n v="7890"/>
    <n v="10925"/>
  </r>
  <r>
    <x v="69"/>
    <n v="20676"/>
    <n v="8882"/>
    <n v="11794"/>
  </r>
  <r>
    <x v="70"/>
    <n v="21281"/>
    <n v="9700"/>
    <n v="11581"/>
  </r>
  <r>
    <x v="71"/>
    <n v="24869"/>
    <n v="13173"/>
    <n v="11696"/>
  </r>
  <r>
    <x v="72"/>
    <n v="28841"/>
    <n v="18067"/>
    <n v="10774"/>
  </r>
  <r>
    <x v="73"/>
    <n v="29919"/>
    <n v="18899"/>
    <n v="11020"/>
  </r>
  <r>
    <x v="74"/>
    <n v="19366"/>
    <n v="8948"/>
    <n v="10418"/>
  </r>
  <r>
    <x v="75"/>
    <n v="20333"/>
    <n v="8866"/>
    <n v="11467"/>
  </r>
  <r>
    <x v="76"/>
    <n v="21539"/>
    <n v="9334"/>
    <n v="12205"/>
  </r>
  <r>
    <x v="77"/>
    <n v="21771"/>
    <n v="10039"/>
    <n v="11732"/>
  </r>
  <r>
    <x v="78"/>
    <n v="23542"/>
    <n v="12620"/>
    <n v="10922"/>
  </r>
  <r>
    <x v="79"/>
    <n v="31261"/>
    <n v="19682"/>
    <n v="11579"/>
  </r>
  <r>
    <x v="80"/>
    <n v="18388"/>
    <n v="10914"/>
    <n v="7474"/>
  </r>
  <r>
    <x v="81"/>
    <n v="17988"/>
    <n v="7688"/>
    <n v="10300"/>
  </r>
  <r>
    <x v="82"/>
    <n v="20929"/>
    <n v="9177"/>
    <n v="11752"/>
  </r>
  <r>
    <x v="83"/>
    <n v="19720"/>
    <n v="8305"/>
    <n v="11415"/>
  </r>
  <r>
    <x v="84"/>
    <n v="12373"/>
    <n v="4702"/>
    <n v="7671"/>
  </r>
  <r>
    <x v="85"/>
    <n v="13415"/>
    <n v="6495"/>
    <n v="6920"/>
  </r>
  <r>
    <x v="86"/>
    <n v="11694"/>
    <n v="6406"/>
    <n v="5288"/>
  </r>
  <r>
    <x v="87"/>
    <n v="24158"/>
    <n v="14155"/>
    <n v="10003"/>
  </r>
  <r>
    <x v="88"/>
    <n v="13383"/>
    <n v="5257"/>
    <n v="8126"/>
  </r>
  <r>
    <x v="89"/>
    <n v="14631"/>
    <n v="5805"/>
    <n v="8826"/>
  </r>
  <r>
    <x v="90"/>
    <n v="15659"/>
    <n v="5869"/>
    <n v="97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7E46D4-9C1A-44A7-86BB-F7111798DD9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4:F5" firstHeaderRow="1" firstDataRow="1" firstDataCol="0"/>
  <pivotFields count="6">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dataField="1" showAll="0"/>
    <pivotField showAll="0"/>
    <pivotField showAll="0"/>
    <pivotField showAll="0" defaultSubtotal="0"/>
    <pivotField showAll="0" defaultSubtotal="0">
      <items count="14">
        <item h="1" x="0"/>
        <item h="1" x="1"/>
        <item h="1" x="2"/>
        <item h="1" x="3"/>
        <item x="4"/>
        <item x="5"/>
        <item x="6"/>
        <item h="1" x="7"/>
        <item h="1" x="8"/>
        <item h="1" x="9"/>
        <item h="1" x="10"/>
        <item h="1" x="11"/>
        <item h="1" x="12"/>
        <item h="1" x="13"/>
      </items>
    </pivotField>
  </pivotFields>
  <rowItems count="1">
    <i/>
  </rowItems>
  <colItems count="1">
    <i/>
  </colItems>
  <dataFields count="1">
    <dataField name="Total Ride" fld="1" baseField="0"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7BE5D9-16CF-4BB7-8BD7-28971FBECF1F}"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D94" firstHeaderRow="0" firstDataRow="1" firstDataCol="1"/>
  <pivotFields count="6">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dataField="1" showAll="0"/>
    <pivotField dataField="1"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sd="0" x="4"/>
        <item sd="0" x="5"/>
        <item sd="0" x="6"/>
        <item h="1" sd="0" x="7"/>
        <item h="1" sd="0" x="8"/>
        <item h="1" sd="0" x="9"/>
        <item h="1" sd="0" x="10"/>
        <item h="1" sd="0" x="11"/>
        <item h="1" sd="0" x="12"/>
        <item h="1" sd="0" x="13"/>
        <item t="default"/>
      </items>
    </pivotField>
  </pivotFields>
  <rowFields count="1">
    <field x="4"/>
  </rowFields>
  <rowItems count="91">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rowItems>
  <colFields count="1">
    <field x="-2"/>
  </colFields>
  <colItems count="3">
    <i>
      <x/>
    </i>
    <i i="1">
      <x v="1"/>
    </i>
    <i i="2">
      <x v="2"/>
    </i>
  </colItems>
  <dataFields count="3">
    <dataField name="Total Ride" fld="1" baseField="0" baseItem="0"/>
    <dataField name="MemberCount" fld="3" baseField="0" baseItem="0"/>
    <dataField name="CasualCount" fld="2"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2A09A5-BA41-4BB4-85A8-D512DAF7A0AA}"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Month">
  <location ref="H2:K5" firstHeaderRow="0" firstDataRow="1" firstDataCol="1"/>
  <pivotFields count="6">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dataField="1" showAll="0"/>
    <pivotField dataField="1" showAll="0"/>
    <pivotField dataField="1" showAll="0"/>
    <pivotField showAll="0" defaultSubtotal="0"/>
    <pivotField axis="axisRow" showAll="0" sortType="ascending" defaultSubtotal="0">
      <items count="14">
        <item h="1" x="0"/>
        <item h="1" x="1"/>
        <item h="1" x="2"/>
        <item h="1" x="3"/>
        <item x="4"/>
        <item x="5"/>
        <item x="6"/>
        <item h="1" x="7"/>
        <item h="1" x="8"/>
        <item h="1" x="9"/>
        <item h="1" x="10"/>
        <item h="1" x="11"/>
        <item h="1" x="12"/>
        <item h="1" x="13"/>
      </items>
      <autoSortScope>
        <pivotArea dataOnly="0" outline="0" fieldPosition="0">
          <references count="1">
            <reference field="4294967294" count="1" selected="0">
              <x v="0"/>
            </reference>
          </references>
        </pivotArea>
      </autoSortScope>
    </pivotField>
  </pivotFields>
  <rowFields count="1">
    <field x="5"/>
  </rowFields>
  <rowItems count="3">
    <i>
      <x v="4"/>
    </i>
    <i>
      <x v="5"/>
    </i>
    <i>
      <x v="6"/>
    </i>
  </rowItems>
  <colFields count="1">
    <field x="-2"/>
  </colFields>
  <colItems count="3">
    <i>
      <x/>
    </i>
    <i i="1">
      <x v="1"/>
    </i>
    <i i="2">
      <x v="2"/>
    </i>
  </colItems>
  <dataFields count="3">
    <dataField name="RideCount" fld="1" baseField="0" baseItem="0"/>
    <dataField name="CasualCount" fld="2" baseField="0" baseItem="0"/>
    <dataField name="MemberCount" fld="3" baseField="0" baseItem="0"/>
  </dataFields>
  <formats count="1">
    <format dxfId="6">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B9840F-2822-41FA-BF85-9C9AA432A6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E12" firstHeaderRow="1" firstDataRow="2" firstDataCol="1"/>
  <pivotFields count="6">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dataField="1" showAll="0"/>
    <pivotField axis="axisRow" showAll="0" sortType="ascending">
      <items count="8">
        <item x="4"/>
        <item x="5"/>
        <item x="6"/>
        <item x="0"/>
        <item x="1"/>
        <item x="2"/>
        <item x="3"/>
        <item t="default"/>
      </items>
      <autoSortScope>
        <pivotArea dataOnly="0" outline="0" fieldPosition="0">
          <references count="1">
            <reference field="4294967294" count="1" selected="0">
              <x v="0"/>
            </reference>
          </references>
        </pivotArea>
      </autoSortScope>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
    <i>
      <x v="3"/>
    </i>
    <i>
      <x/>
    </i>
    <i>
      <x v="2"/>
    </i>
    <i>
      <x v="1"/>
    </i>
    <i>
      <x v="4"/>
    </i>
    <i>
      <x v="6"/>
    </i>
    <i>
      <x v="5"/>
    </i>
    <i t="grand">
      <x/>
    </i>
  </rowItems>
  <colFields count="1">
    <field x="5"/>
  </colFields>
  <colItems count="4">
    <i>
      <x v="4"/>
    </i>
    <i>
      <x v="5"/>
    </i>
    <i>
      <x v="6"/>
    </i>
    <i t="grand">
      <x/>
    </i>
  </colItems>
  <dataFields count="1">
    <dataField name="Sum of ride_id" fld="1" baseField="0" baseItem="0" numFmtId="164"/>
  </dataFields>
  <formats count="1">
    <format dxfId="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5"/>
          </reference>
        </references>
      </pivotArea>
    </chartFormat>
    <chartFormat chart="0" format="2" series="1">
      <pivotArea type="data" outline="0" fieldPosition="0">
        <references count="2">
          <reference field="4294967294" count="1" selected="0">
            <x v="0"/>
          </reference>
          <reference field="5" count="1" selected="0">
            <x v="6"/>
          </reference>
        </references>
      </pivotArea>
    </chartFormat>
    <chartFormat chart="15" format="6" series="1">
      <pivotArea type="data" outline="0" fieldPosition="0">
        <references count="2">
          <reference field="4294967294" count="1" selected="0">
            <x v="0"/>
          </reference>
          <reference field="5" count="1" selected="0">
            <x v="4"/>
          </reference>
        </references>
      </pivotArea>
    </chartFormat>
    <chartFormat chart="15" format="7" series="1">
      <pivotArea type="data" outline="0" fieldPosition="0">
        <references count="2">
          <reference field="4294967294" count="1" selected="0">
            <x v="0"/>
          </reference>
          <reference field="5" count="1" selected="0">
            <x v="5"/>
          </reference>
        </references>
      </pivotArea>
    </chartFormat>
    <chartFormat chart="15" format="8" series="1">
      <pivotArea type="data" outline="0" fieldPosition="0">
        <references count="2">
          <reference field="4294967294" count="1" selected="0">
            <x v="0"/>
          </reference>
          <reference field="5" count="1" selected="0">
            <x v="6"/>
          </reference>
        </references>
      </pivotArea>
    </chartFormat>
    <chartFormat chart="18" format="12" series="1">
      <pivotArea type="data" outline="0" fieldPosition="0">
        <references count="2">
          <reference field="4294967294" count="1" selected="0">
            <x v="0"/>
          </reference>
          <reference field="5" count="1" selected="0">
            <x v="4"/>
          </reference>
        </references>
      </pivotArea>
    </chartFormat>
    <chartFormat chart="18" format="13" series="1">
      <pivotArea type="data" outline="0" fieldPosition="0">
        <references count="2">
          <reference field="4294967294" count="1" selected="0">
            <x v="0"/>
          </reference>
          <reference field="5" count="1" selected="0">
            <x v="5"/>
          </reference>
        </references>
      </pivotArea>
    </chartFormat>
    <chartFormat chart="18" format="14"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9A8B0F-CD45-40B6-8C39-61DE71BCF91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6:A300" firstHeaderRow="1" firstDataRow="1" firstDataCol="1"/>
  <pivotFields count="8">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axis="axisRow" showAll="0">
      <items count="92">
        <item x="0"/>
        <item x="7"/>
        <item x="9"/>
        <item x="57"/>
        <item x="19"/>
        <item x="20"/>
        <item x="38"/>
        <item x="27"/>
        <item x="18"/>
        <item x="13"/>
        <item x="14"/>
        <item x="39"/>
        <item x="35"/>
        <item x="24"/>
        <item x="1"/>
        <item x="33"/>
        <item x="28"/>
        <item x="32"/>
        <item x="40"/>
        <item x="12"/>
        <item x="56"/>
        <item x="21"/>
        <item x="15"/>
        <item x="10"/>
        <item x="47"/>
        <item x="11"/>
        <item x="29"/>
        <item x="4"/>
        <item x="34"/>
        <item x="36"/>
        <item x="41"/>
        <item x="86"/>
        <item x="8"/>
        <item x="17"/>
        <item x="44"/>
        <item x="22"/>
        <item x="46"/>
        <item x="16"/>
        <item x="84"/>
        <item x="37"/>
        <item x="85"/>
        <item x="48"/>
        <item x="25"/>
        <item x="42"/>
        <item x="88"/>
        <item x="23"/>
        <item x="6"/>
        <item x="67"/>
        <item x="89"/>
        <item x="54"/>
        <item x="3"/>
        <item x="43"/>
        <item x="61"/>
        <item x="5"/>
        <item x="53"/>
        <item x="62"/>
        <item x="90"/>
        <item x="26"/>
        <item x="49"/>
        <item x="58"/>
        <item x="60"/>
        <item x="55"/>
        <item x="2"/>
        <item x="52"/>
        <item x="81"/>
        <item x="68"/>
        <item x="45"/>
        <item x="63"/>
        <item x="80"/>
        <item x="74"/>
        <item x="50"/>
        <item x="83"/>
        <item x="64"/>
        <item x="75"/>
        <item x="69"/>
        <item x="59"/>
        <item x="82"/>
        <item x="70"/>
        <item x="30"/>
        <item x="77"/>
        <item x="76"/>
        <item x="31"/>
        <item x="71"/>
        <item x="66"/>
        <item x="87"/>
        <item x="78"/>
        <item x="72"/>
        <item x="65"/>
        <item x="51"/>
        <item x="73"/>
        <item x="79"/>
        <item t="default"/>
      </items>
    </pivotField>
    <pivotField axis="axisRow" showAll="0">
      <items count="91">
        <item x="19"/>
        <item x="20"/>
        <item x="27"/>
        <item x="18"/>
        <item x="0"/>
        <item x="7"/>
        <item x="57"/>
        <item x="33"/>
        <item x="35"/>
        <item x="13"/>
        <item x="14"/>
        <item x="28"/>
        <item x="56"/>
        <item x="9"/>
        <item x="39"/>
        <item x="38"/>
        <item x="40"/>
        <item x="12"/>
        <item x="21"/>
        <item x="34"/>
        <item x="32"/>
        <item x="41"/>
        <item x="24"/>
        <item x="84"/>
        <item x="15"/>
        <item x="29"/>
        <item x="11"/>
        <item x="1"/>
        <item x="47"/>
        <item x="48"/>
        <item x="36"/>
        <item x="22"/>
        <item x="89"/>
        <item x="87"/>
        <item x="88"/>
        <item x="85"/>
        <item x="4"/>
        <item x="10"/>
        <item x="42"/>
        <item x="25"/>
        <item x="8"/>
        <item x="67"/>
        <item x="46"/>
        <item x="54"/>
        <item x="62"/>
        <item x="83"/>
        <item x="55"/>
        <item x="37"/>
        <item x="81"/>
        <item x="68"/>
        <item x="23"/>
        <item x="6"/>
        <item x="16"/>
        <item x="17"/>
        <item x="61"/>
        <item x="26"/>
        <item x="75"/>
        <item x="70"/>
        <item x="49"/>
        <item x="76"/>
        <item x="69"/>
        <item x="82"/>
        <item x="63"/>
        <item x="44"/>
        <item x="43"/>
        <item x="74"/>
        <item x="77"/>
        <item x="5"/>
        <item x="53"/>
        <item x="80"/>
        <item x="64"/>
        <item x="58"/>
        <item x="78"/>
        <item x="50"/>
        <item x="71"/>
        <item x="52"/>
        <item x="60"/>
        <item x="3"/>
        <item x="86"/>
        <item x="45"/>
        <item x="2"/>
        <item x="66"/>
        <item x="30"/>
        <item x="72"/>
        <item x="31"/>
        <item x="79"/>
        <item x="59"/>
        <item x="73"/>
        <item x="65"/>
        <item x="51"/>
        <item t="default"/>
      </items>
    </pivotField>
    <pivotField axis="axisRow" showAll="0">
      <items count="90">
        <item x="9"/>
        <item x="7"/>
        <item x="0"/>
        <item x="19"/>
        <item x="27"/>
        <item x="20"/>
        <item x="18"/>
        <item x="36"/>
        <item x="24"/>
        <item x="32"/>
        <item x="4"/>
        <item x="55"/>
        <item x="10"/>
        <item x="13"/>
        <item x="11"/>
        <item x="14"/>
        <item x="1"/>
        <item x="28"/>
        <item x="12"/>
        <item x="37"/>
        <item x="8"/>
        <item x="34"/>
        <item x="3"/>
        <item x="15"/>
        <item x="21"/>
        <item x="29"/>
        <item x="6"/>
        <item x="17"/>
        <item x="38"/>
        <item x="25"/>
        <item x="33"/>
        <item x="16"/>
        <item x="5"/>
        <item x="23"/>
        <item x="78"/>
        <item x="54"/>
        <item x="84"/>
        <item x="45"/>
        <item x="22"/>
        <item x="35"/>
        <item x="2"/>
        <item x="26"/>
        <item x="31"/>
        <item x="39"/>
        <item x="44"/>
        <item x="86"/>
        <item x="82"/>
        <item x="87"/>
        <item x="88"/>
        <item x="65"/>
        <item x="42"/>
        <item x="30"/>
        <item x="83"/>
        <item x="46"/>
        <item x="59"/>
        <item x="40"/>
        <item x="53"/>
        <item x="51"/>
        <item x="50"/>
        <item x="58"/>
        <item x="56"/>
        <item x="52"/>
        <item x="76"/>
        <item x="47"/>
        <item x="72"/>
        <item x="79"/>
        <item x="77"/>
        <item x="81"/>
        <item x="73"/>
        <item x="60"/>
        <item x="66"/>
        <item x="74"/>
        <item x="43"/>
        <item x="80"/>
        <item x="85"/>
        <item x="57"/>
        <item x="71"/>
        <item x="41"/>
        <item x="75"/>
        <item x="67"/>
        <item x="61"/>
        <item x="64"/>
        <item x="68"/>
        <item x="48"/>
        <item x="62"/>
        <item x="70"/>
        <item x="49"/>
        <item x="69"/>
        <item x="63"/>
        <item t="default"/>
      </items>
    </pivotField>
    <pivotField showAll="0">
      <items count="4">
        <item x="0"/>
        <item x="1"/>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3">
    <field x="2"/>
    <field x="3"/>
    <field x="4"/>
  </rowFields>
  <rowItems count="274">
    <i>
      <x/>
    </i>
    <i r="1">
      <x v="4"/>
    </i>
    <i r="2">
      <x v="2"/>
    </i>
    <i>
      <x v="1"/>
    </i>
    <i r="1">
      <x v="5"/>
    </i>
    <i r="2">
      <x v="1"/>
    </i>
    <i>
      <x v="2"/>
    </i>
    <i r="1">
      <x v="13"/>
    </i>
    <i r="2">
      <x/>
    </i>
    <i>
      <x v="3"/>
    </i>
    <i r="1">
      <x v="6"/>
    </i>
    <i r="2">
      <x v="11"/>
    </i>
    <i>
      <x v="4"/>
    </i>
    <i r="1">
      <x/>
    </i>
    <i r="2">
      <x v="3"/>
    </i>
    <i>
      <x v="5"/>
    </i>
    <i r="1">
      <x v="1"/>
    </i>
    <i r="2">
      <x v="5"/>
    </i>
    <i>
      <x v="6"/>
    </i>
    <i r="1">
      <x v="15"/>
    </i>
    <i r="2">
      <x v="7"/>
    </i>
    <i>
      <x v="7"/>
    </i>
    <i r="1">
      <x v="2"/>
    </i>
    <i r="2">
      <x v="4"/>
    </i>
    <i>
      <x v="8"/>
    </i>
    <i r="1">
      <x v="3"/>
    </i>
    <i r="2">
      <x v="6"/>
    </i>
    <i>
      <x v="9"/>
    </i>
    <i r="1">
      <x v="9"/>
    </i>
    <i r="2">
      <x v="13"/>
    </i>
    <i>
      <x v="10"/>
    </i>
    <i r="1">
      <x v="10"/>
    </i>
    <i r="2">
      <x v="15"/>
    </i>
    <i>
      <x v="11"/>
    </i>
    <i r="1">
      <x v="14"/>
    </i>
    <i r="2">
      <x v="19"/>
    </i>
    <i>
      <x v="12"/>
    </i>
    <i r="1">
      <x v="8"/>
    </i>
    <i r="2">
      <x v="21"/>
    </i>
    <i>
      <x v="13"/>
    </i>
    <i r="1">
      <x v="22"/>
    </i>
    <i r="2">
      <x v="8"/>
    </i>
    <i>
      <x v="14"/>
    </i>
    <i r="1">
      <x v="27"/>
    </i>
    <i r="2">
      <x v="16"/>
    </i>
    <i>
      <x v="15"/>
    </i>
    <i r="1">
      <x v="7"/>
    </i>
    <i r="2">
      <x v="12"/>
    </i>
    <i>
      <x v="16"/>
    </i>
    <i r="1">
      <x v="11"/>
    </i>
    <i r="2">
      <x v="17"/>
    </i>
    <i>
      <x v="17"/>
    </i>
    <i r="1">
      <x v="20"/>
    </i>
    <i r="2">
      <x v="9"/>
    </i>
    <i>
      <x v="18"/>
    </i>
    <i r="1">
      <x v="16"/>
    </i>
    <i r="2">
      <x v="28"/>
    </i>
    <i>
      <x v="19"/>
    </i>
    <i r="1">
      <x v="17"/>
    </i>
    <i r="2">
      <x v="18"/>
    </i>
    <i>
      <x v="20"/>
    </i>
    <i r="1">
      <x v="12"/>
    </i>
    <i r="2">
      <x v="35"/>
    </i>
    <i>
      <x v="21"/>
    </i>
    <i r="1">
      <x v="18"/>
    </i>
    <i r="2">
      <x v="24"/>
    </i>
    <i>
      <x v="22"/>
    </i>
    <i r="1">
      <x v="24"/>
    </i>
    <i r="2">
      <x v="23"/>
    </i>
    <i>
      <x v="23"/>
    </i>
    <i r="1">
      <x v="37"/>
    </i>
    <i r="2">
      <x v="12"/>
    </i>
    <i>
      <x v="24"/>
    </i>
    <i r="1">
      <x v="28"/>
    </i>
    <i r="2">
      <x v="37"/>
    </i>
    <i>
      <x v="25"/>
    </i>
    <i r="1">
      <x v="26"/>
    </i>
    <i r="2">
      <x v="14"/>
    </i>
    <i>
      <x v="26"/>
    </i>
    <i r="1">
      <x v="25"/>
    </i>
    <i r="2">
      <x v="25"/>
    </i>
    <i>
      <x v="27"/>
    </i>
    <i r="1">
      <x v="36"/>
    </i>
    <i r="2">
      <x v="10"/>
    </i>
    <i>
      <x v="28"/>
    </i>
    <i r="1">
      <x v="19"/>
    </i>
    <i r="2">
      <x v="30"/>
    </i>
    <i>
      <x v="29"/>
    </i>
    <i r="1">
      <x v="30"/>
    </i>
    <i r="2">
      <x v="38"/>
    </i>
    <i>
      <x v="30"/>
    </i>
    <i r="1">
      <x v="21"/>
    </i>
    <i r="2">
      <x v="43"/>
    </i>
    <i>
      <x v="31"/>
    </i>
    <i r="1">
      <x v="40"/>
    </i>
    <i r="2">
      <x v="36"/>
    </i>
    <i>
      <x v="32"/>
    </i>
    <i r="1">
      <x v="40"/>
    </i>
    <i r="2">
      <x v="20"/>
    </i>
    <i>
      <x v="33"/>
    </i>
    <i r="1">
      <x v="53"/>
    </i>
    <i r="2">
      <x v="27"/>
    </i>
    <i>
      <x v="34"/>
    </i>
    <i r="1">
      <x v="63"/>
    </i>
    <i r="2">
      <x v="50"/>
    </i>
    <i>
      <x v="35"/>
    </i>
    <i r="1">
      <x v="31"/>
    </i>
    <i r="2">
      <x v="38"/>
    </i>
    <i>
      <x v="36"/>
    </i>
    <i r="1">
      <x v="42"/>
    </i>
    <i r="2">
      <x v="44"/>
    </i>
    <i>
      <x v="37"/>
    </i>
    <i r="1">
      <x v="52"/>
    </i>
    <i r="2">
      <x v="31"/>
    </i>
    <i>
      <x v="38"/>
    </i>
    <i r="1">
      <x v="23"/>
    </i>
    <i r="2">
      <x v="46"/>
    </i>
    <i>
      <x v="39"/>
    </i>
    <i r="1">
      <x v="47"/>
    </i>
    <i r="2">
      <x v="39"/>
    </i>
    <i>
      <x v="40"/>
    </i>
    <i r="1">
      <x v="35"/>
    </i>
    <i r="2">
      <x v="52"/>
    </i>
    <i>
      <x v="41"/>
    </i>
    <i r="1">
      <x v="29"/>
    </i>
    <i r="2">
      <x v="53"/>
    </i>
    <i>
      <x v="42"/>
    </i>
    <i r="1">
      <x v="39"/>
    </i>
    <i r="2">
      <x v="29"/>
    </i>
    <i>
      <x v="43"/>
    </i>
    <i r="1">
      <x v="38"/>
    </i>
    <i r="2">
      <x v="55"/>
    </i>
    <i>
      <x v="44"/>
    </i>
    <i r="1">
      <x v="33"/>
    </i>
    <i r="2">
      <x v="45"/>
    </i>
    <i>
      <x v="45"/>
    </i>
    <i r="1">
      <x v="50"/>
    </i>
    <i r="2">
      <x v="33"/>
    </i>
    <i>
      <x v="46"/>
    </i>
    <i r="1">
      <x v="51"/>
    </i>
    <i r="2">
      <x v="26"/>
    </i>
    <i>
      <x v="47"/>
    </i>
    <i r="1">
      <x v="41"/>
    </i>
    <i r="2">
      <x v="49"/>
    </i>
    <i>
      <x v="48"/>
    </i>
    <i r="1">
      <x v="34"/>
    </i>
    <i r="2">
      <x v="47"/>
    </i>
    <i>
      <x v="49"/>
    </i>
    <i r="1">
      <x v="43"/>
    </i>
    <i r="2">
      <x v="61"/>
    </i>
    <i>
      <x v="50"/>
    </i>
    <i r="1">
      <x v="77"/>
    </i>
    <i r="2">
      <x v="22"/>
    </i>
    <i>
      <x v="51"/>
    </i>
    <i r="1">
      <x v="64"/>
    </i>
    <i r="2">
      <x v="77"/>
    </i>
    <i>
      <x v="52"/>
    </i>
    <i r="1">
      <x v="54"/>
    </i>
    <i r="2">
      <x v="54"/>
    </i>
    <i>
      <x v="53"/>
    </i>
    <i r="1">
      <x v="67"/>
    </i>
    <i r="2">
      <x v="32"/>
    </i>
    <i>
      <x v="54"/>
    </i>
    <i r="1">
      <x v="68"/>
    </i>
    <i r="2">
      <x v="57"/>
    </i>
    <i>
      <x v="55"/>
    </i>
    <i r="1">
      <x v="44"/>
    </i>
    <i r="2">
      <x v="69"/>
    </i>
    <i>
      <x v="56"/>
    </i>
    <i r="1">
      <x v="32"/>
    </i>
    <i r="2">
      <x v="48"/>
    </i>
    <i>
      <x v="57"/>
    </i>
    <i r="1">
      <x v="55"/>
    </i>
    <i r="2">
      <x v="41"/>
    </i>
    <i>
      <x v="58"/>
    </i>
    <i r="1">
      <x v="58"/>
    </i>
    <i r="2">
      <x v="63"/>
    </i>
    <i>
      <x v="59"/>
    </i>
    <i r="1">
      <x v="71"/>
    </i>
    <i r="2">
      <x v="60"/>
    </i>
    <i>
      <x v="60"/>
    </i>
    <i r="1">
      <x v="76"/>
    </i>
    <i r="2">
      <x v="59"/>
    </i>
    <i>
      <x v="61"/>
    </i>
    <i r="1">
      <x v="46"/>
    </i>
    <i r="2">
      <x v="56"/>
    </i>
    <i>
      <x v="62"/>
    </i>
    <i r="1">
      <x v="80"/>
    </i>
    <i r="2">
      <x v="40"/>
    </i>
    <i>
      <x v="63"/>
    </i>
    <i r="1">
      <x v="75"/>
    </i>
    <i r="2">
      <x v="58"/>
    </i>
    <i>
      <x v="64"/>
    </i>
    <i r="1">
      <x v="48"/>
    </i>
    <i r="2">
      <x v="65"/>
    </i>
    <i>
      <x v="65"/>
    </i>
    <i r="1">
      <x v="49"/>
    </i>
    <i r="2">
      <x v="70"/>
    </i>
    <i>
      <x v="66"/>
    </i>
    <i r="1">
      <x v="79"/>
    </i>
    <i r="2">
      <x v="72"/>
    </i>
    <i>
      <x v="67"/>
    </i>
    <i r="1">
      <x v="62"/>
    </i>
    <i r="2">
      <x v="80"/>
    </i>
    <i>
      <x v="68"/>
    </i>
    <i r="1">
      <x v="69"/>
    </i>
    <i r="2">
      <x v="34"/>
    </i>
    <i>
      <x v="69"/>
    </i>
    <i r="1">
      <x v="65"/>
    </i>
    <i r="2">
      <x v="64"/>
    </i>
    <i>
      <x v="70"/>
    </i>
    <i r="1">
      <x v="73"/>
    </i>
    <i r="2">
      <x v="83"/>
    </i>
    <i>
      <x v="71"/>
    </i>
    <i r="1">
      <x v="45"/>
    </i>
    <i r="2">
      <x v="67"/>
    </i>
    <i>
      <x v="72"/>
    </i>
    <i r="1">
      <x v="70"/>
    </i>
    <i r="2">
      <x v="84"/>
    </i>
    <i>
      <x v="73"/>
    </i>
    <i r="1">
      <x v="56"/>
    </i>
    <i r="2">
      <x v="68"/>
    </i>
    <i>
      <x v="74"/>
    </i>
    <i r="1">
      <x v="60"/>
    </i>
    <i r="2">
      <x v="79"/>
    </i>
    <i>
      <x v="75"/>
    </i>
    <i r="1">
      <x v="86"/>
    </i>
    <i r="2">
      <x v="75"/>
    </i>
    <i>
      <x v="76"/>
    </i>
    <i r="1">
      <x v="61"/>
    </i>
    <i r="2">
      <x v="73"/>
    </i>
    <i>
      <x v="77"/>
    </i>
    <i r="1">
      <x v="57"/>
    </i>
    <i r="2">
      <x v="82"/>
    </i>
    <i>
      <x v="78"/>
    </i>
    <i r="1">
      <x v="82"/>
    </i>
    <i r="2">
      <x v="51"/>
    </i>
    <i>
      <x v="79"/>
    </i>
    <i r="1">
      <x v="66"/>
    </i>
    <i r="2">
      <x v="78"/>
    </i>
    <i>
      <x v="80"/>
    </i>
    <i r="1">
      <x v="59"/>
    </i>
    <i r="2">
      <x v="71"/>
    </i>
    <i>
      <x v="81"/>
    </i>
    <i r="1">
      <x v="84"/>
    </i>
    <i r="2">
      <x v="42"/>
    </i>
    <i>
      <x v="82"/>
    </i>
    <i r="1">
      <x v="74"/>
    </i>
    <i r="2">
      <x v="87"/>
    </i>
    <i>
      <x v="83"/>
    </i>
    <i r="1">
      <x v="81"/>
    </i>
    <i r="2">
      <x v="81"/>
    </i>
    <i>
      <x v="84"/>
    </i>
    <i r="1">
      <x v="78"/>
    </i>
    <i r="2">
      <x v="74"/>
    </i>
    <i>
      <x v="85"/>
    </i>
    <i r="1">
      <x v="72"/>
    </i>
    <i r="2">
      <x v="62"/>
    </i>
    <i>
      <x v="86"/>
    </i>
    <i r="1">
      <x v="83"/>
    </i>
    <i r="2">
      <x v="85"/>
    </i>
    <i>
      <x v="87"/>
    </i>
    <i r="1">
      <x v="88"/>
    </i>
    <i r="2">
      <x v="88"/>
    </i>
    <i>
      <x v="88"/>
    </i>
    <i r="1">
      <x v="89"/>
    </i>
    <i r="2">
      <x v="86"/>
    </i>
    <i>
      <x v="89"/>
    </i>
    <i r="1">
      <x v="87"/>
    </i>
    <i r="2">
      <x v="76"/>
    </i>
    <i>
      <x v="90"/>
    </i>
    <i r="1">
      <x v="85"/>
    </i>
    <i r="2">
      <x v="6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B865F6-367A-45EE-9902-1D842823565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0" firstDataRow="1" firstDataCol="1"/>
  <pivotFields count="8">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4">
    <i>
      <x v="4"/>
    </i>
    <i>
      <x v="5"/>
    </i>
    <i>
      <x v="6"/>
    </i>
    <i t="grand">
      <x/>
    </i>
  </rowItems>
  <colFields count="1">
    <field x="-2"/>
  </colFields>
  <colItems count="3">
    <i>
      <x/>
    </i>
    <i i="1">
      <x v="1"/>
    </i>
    <i i="2">
      <x v="2"/>
    </i>
  </colItems>
  <dataFields count="3">
    <dataField name="Classic Bike" fld="2" baseField="0" baseItem="0"/>
    <dataField name="Docked Bike" fld="3" baseField="0" baseItem="0"/>
    <dataField name="Electric Bike" fld="4" baseField="0" baseItem="0"/>
  </dataFields>
  <formats count="1">
    <format dxfId="0">
      <pivotArea outline="0" collapsedLevelsAreSubtotals="1" fieldPosition="0"/>
    </format>
  </formats>
  <chartFormats count="9">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2"/>
          </reference>
        </references>
      </pivotArea>
    </chartFormat>
    <chartFormat chart="8"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1"/>
          </reference>
        </references>
      </pivotArea>
    </chartFormat>
    <chartFormat chart="8"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C150CC-4E29-4C0C-B16F-D6839AFAB510}" autoFormatId="16" applyNumberFormats="0" applyBorderFormats="0" applyFontFormats="0" applyPatternFormats="0" applyAlignmentFormats="0" applyWidthHeightFormats="0">
  <queryTableRefresh nextId="5">
    <queryTableFields count="4">
      <queryTableField id="1" name="started" tableColumnId="1"/>
      <queryTableField id="2" name="ride_id" tableColumnId="2"/>
      <queryTableField id="3" name="casual" tableColumnId="3"/>
      <queryTableField id="4" name="member"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5" xr16:uid="{1727E887-0D01-47A0-A097-C10D83FF5F82}" autoFormatId="16" applyNumberFormats="0" applyBorderFormats="0" applyFontFormats="0" applyPatternFormats="0" applyAlignmentFormats="0" applyWidthHeightFormats="0">
  <queryTableRefresh nextId="5">
    <queryTableFields count="4">
      <queryTableField id="1" name="started" tableColumnId="1"/>
      <queryTableField id="2" name="ride_id" tableColumnId="2"/>
      <queryTableField id="3" name="weekdays" tableColumnId="3"/>
      <queryTableField id="4" name="month"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418BC533-2174-454B-97A7-AC026EB1953B}" autoFormatId="16" applyNumberFormats="0" applyBorderFormats="0" applyFontFormats="0" applyPatternFormats="0" applyAlignmentFormats="0" applyWidthHeightFormats="0">
  <queryTableRefresh nextId="7">
    <queryTableFields count="6">
      <queryTableField id="1" name="started" tableColumnId="1"/>
      <queryTableField id="2" name="ride_id" tableColumnId="2"/>
      <queryTableField id="3" name="classic_bike" tableColumnId="3"/>
      <queryTableField id="4" name="docked_bike" tableColumnId="4"/>
      <queryTableField id="5" name="electric_bike" tableColumnId="5"/>
      <queryTableField id="6" name="mon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tarted" xr10:uid="{7D7497C1-EB20-4C05-BE35-5AE9AF072E03}" sourceName="Months (started)">
  <pivotTables>
    <pivotTable tabId="3" name="PivotTable2"/>
    <pivotTable tabId="3" name="PivotTable1"/>
    <pivotTable tabId="3" name="PivotTable4"/>
  </pivotTables>
  <data>
    <tabular pivotCacheId="1697256917">
      <items count="14">
        <i x="4" s="1"/>
        <i x="5" s="1"/>
        <i x="6" s="1"/>
        <i x="1" nd="1"/>
        <i x="2" nd="1"/>
        <i x="3" nd="1"/>
        <i x="7" nd="1"/>
        <i x="8" nd="1"/>
        <i x="9" nd="1"/>
        <i x="10" nd="1"/>
        <i x="11" nd="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tarted)" xr10:uid="{1F65C29E-1020-47B4-B88F-89F36CDB76BF}" cache="Slicer_Months__started" caption="Months (started)"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tarted) 1" xr10:uid="{302EC0B6-94FB-4847-BCEF-F9DA9BC04CC9}" cache="Slicer_Months__started" caption="Months (started)" columnCount="3" showCaption="0"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8939AB-CFF7-44D4-9E67-C0C43C5AAC1B}" name="daily_data__1" displayName="daily_data__1" ref="A1:D92" tableType="queryTable" totalsRowShown="0">
  <autoFilter ref="A1:D92" xr:uid="{378939AB-CFF7-44D4-9E67-C0C43C5AAC1B}"/>
  <tableColumns count="4">
    <tableColumn id="1" xr3:uid="{05442260-CA07-4604-9448-C2A668E8FEB9}" uniqueName="1" name="started" queryTableFieldId="1" dataDxfId="5"/>
    <tableColumn id="2" xr3:uid="{4A837540-CC44-4EC7-8959-6CAEDCE6E6E1}" uniqueName="2" name="ride_id" queryTableFieldId="2"/>
    <tableColumn id="3" xr3:uid="{B6109CD1-2F8D-4E69-8020-CFFD5D6011EE}" uniqueName="3" name="casual" queryTableFieldId="3"/>
    <tableColumn id="4" xr3:uid="{240204E1-3390-489E-946C-091A455B99CF}" uniqueName="4" name="member"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3D8460-1FCC-4ACC-8A16-97E761311966}" name="weekly_data__1" displayName="weekly_data__1" ref="A1:D92" tableType="queryTable" totalsRowShown="0">
  <autoFilter ref="A1:D92" xr:uid="{543D8460-1FCC-4ACC-8A16-97E761311966}"/>
  <tableColumns count="4">
    <tableColumn id="1" xr3:uid="{48E39C75-ECE5-4027-BCF1-8D2ECD8D161E}" uniqueName="1" name="started" queryTableFieldId="1" dataDxfId="4"/>
    <tableColumn id="2" xr3:uid="{43C59338-180C-452C-849C-1D3B74DABE03}" uniqueName="2" name="ride_id" queryTableFieldId="2"/>
    <tableColumn id="3" xr3:uid="{5763B2F7-C81F-40C7-9D36-221421D8ABD9}" uniqueName="3" name="weekdays" queryTableFieldId="3" dataDxfId="3"/>
    <tableColumn id="4" xr3:uid="{0F75021F-7C0C-4A32-BD27-0343C455C88D}" uniqueName="4" name="month"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CE4C9B-411C-4A91-95B8-7113ED8977F0}" name="monthly_data__1" displayName="monthly_data__1" ref="A1:F92" tableType="queryTable" totalsRowShown="0">
  <autoFilter ref="A1:F92" xr:uid="{A6CE4C9B-411C-4A91-95B8-7113ED8977F0}"/>
  <tableColumns count="6">
    <tableColumn id="1" xr3:uid="{20BA725F-D16F-4390-BF4C-978FB0BD09A6}" uniqueName="1" name="started" queryTableFieldId="1" dataDxfId="1"/>
    <tableColumn id="2" xr3:uid="{16C624DA-8272-4130-8536-7F5A29B7E50D}" uniqueName="2" name="ride_id" queryTableFieldId="2"/>
    <tableColumn id="3" xr3:uid="{46E23FF9-1128-44F4-9E8F-524FFDF7AB72}" uniqueName="3" name="classic_bike" queryTableFieldId="3"/>
    <tableColumn id="4" xr3:uid="{02CCD937-8545-4E2C-80AB-57BBB4BA3A09}" uniqueName="4" name="docked_bike" queryTableFieldId="4"/>
    <tableColumn id="5" xr3:uid="{75A1BC11-7CA9-4F36-B1CE-0C5C535DE3B0}" uniqueName="5" name="electric_bike" queryTableFieldId="5"/>
    <tableColumn id="6" xr3:uid="{53FCC0C6-D597-41CC-B3D6-E8ABE638B70C}" uniqueName="6" name="month"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2127C-66ED-4852-BA31-6A60160322B4}">
  <dimension ref="A2:K94"/>
  <sheetViews>
    <sheetView zoomScale="90" workbookViewId="0">
      <selection activeCell="F5" sqref="F5"/>
    </sheetView>
  </sheetViews>
  <sheetFormatPr defaultRowHeight="15" x14ac:dyDescent="0.25"/>
  <cols>
    <col min="1" max="1" width="13.28515625" bestFit="1" customWidth="1"/>
    <col min="2" max="2" width="9.85546875" bestFit="1" customWidth="1"/>
    <col min="3" max="3" width="14.140625" bestFit="1" customWidth="1"/>
    <col min="4" max="4" width="12" bestFit="1" customWidth="1"/>
    <col min="6" max="7" width="9.85546875" bestFit="1" customWidth="1"/>
    <col min="8" max="8" width="9.5703125" bestFit="1" customWidth="1"/>
    <col min="9" max="9" width="10.28515625" bestFit="1" customWidth="1"/>
    <col min="10" max="10" width="12" bestFit="1" customWidth="1"/>
    <col min="11" max="11" width="14.140625" bestFit="1" customWidth="1"/>
  </cols>
  <sheetData>
    <row r="2" spans="1:11" x14ac:dyDescent="0.25">
      <c r="H2" s="2" t="s">
        <v>41</v>
      </c>
      <c r="I2" t="s">
        <v>42</v>
      </c>
      <c r="J2" t="s">
        <v>40</v>
      </c>
      <c r="K2" t="s">
        <v>39</v>
      </c>
    </row>
    <row r="3" spans="1:11" x14ac:dyDescent="0.25">
      <c r="A3" s="2" t="s">
        <v>4</v>
      </c>
      <c r="B3" t="s">
        <v>38</v>
      </c>
      <c r="C3" t="s">
        <v>39</v>
      </c>
      <c r="D3" t="s">
        <v>40</v>
      </c>
      <c r="H3" s="3" t="s">
        <v>5</v>
      </c>
      <c r="I3">
        <v>298207</v>
      </c>
      <c r="J3">
        <v>120420</v>
      </c>
      <c r="K3">
        <v>177787</v>
      </c>
    </row>
    <row r="4" spans="1:11" x14ac:dyDescent="0.25">
      <c r="A4" s="3" t="s">
        <v>67</v>
      </c>
      <c r="B4">
        <v>4812</v>
      </c>
      <c r="C4">
        <v>3554</v>
      </c>
      <c r="D4">
        <v>1258</v>
      </c>
      <c r="F4" t="s">
        <v>38</v>
      </c>
      <c r="H4" s="3" t="s">
        <v>6</v>
      </c>
      <c r="I4">
        <v>450994</v>
      </c>
      <c r="J4">
        <v>216829</v>
      </c>
      <c r="K4">
        <v>234165</v>
      </c>
    </row>
    <row r="5" spans="1:11" x14ac:dyDescent="0.25">
      <c r="A5" s="3" t="s">
        <v>68</v>
      </c>
      <c r="B5">
        <v>8217</v>
      </c>
      <c r="C5">
        <v>5065</v>
      </c>
      <c r="D5">
        <v>3152</v>
      </c>
      <c r="F5">
        <v>1357979</v>
      </c>
      <c r="H5" s="3" t="s">
        <v>7</v>
      </c>
      <c r="I5">
        <v>608778</v>
      </c>
      <c r="J5">
        <v>304192</v>
      </c>
      <c r="K5">
        <v>304586</v>
      </c>
    </row>
    <row r="6" spans="1:11" x14ac:dyDescent="0.25">
      <c r="A6" s="3" t="s">
        <v>69</v>
      </c>
      <c r="B6">
        <v>17934</v>
      </c>
      <c r="C6">
        <v>7685</v>
      </c>
      <c r="D6">
        <v>10249</v>
      </c>
    </row>
    <row r="7" spans="1:11" x14ac:dyDescent="0.25">
      <c r="A7" s="3" t="s">
        <v>70</v>
      </c>
      <c r="B7">
        <v>15919</v>
      </c>
      <c r="C7">
        <v>6671</v>
      </c>
      <c r="D7">
        <v>9248</v>
      </c>
    </row>
    <row r="8" spans="1:11" x14ac:dyDescent="0.25">
      <c r="A8" s="3" t="s">
        <v>71</v>
      </c>
      <c r="B8">
        <v>10248</v>
      </c>
      <c r="C8">
        <v>6185</v>
      </c>
      <c r="D8">
        <v>4063</v>
      </c>
    </row>
    <row r="9" spans="1:11" x14ac:dyDescent="0.25">
      <c r="A9" s="3" t="s">
        <v>72</v>
      </c>
      <c r="B9">
        <v>15543</v>
      </c>
      <c r="C9">
        <v>8573</v>
      </c>
      <c r="D9">
        <v>6970</v>
      </c>
    </row>
    <row r="10" spans="1:11" x14ac:dyDescent="0.25">
      <c r="A10" s="3" t="s">
        <v>73</v>
      </c>
      <c r="B10">
        <v>14058</v>
      </c>
      <c r="C10">
        <v>8316</v>
      </c>
      <c r="D10">
        <v>5742</v>
      </c>
    </row>
    <row r="11" spans="1:11" x14ac:dyDescent="0.25">
      <c r="A11" s="3" t="s">
        <v>74</v>
      </c>
      <c r="B11">
        <v>4645</v>
      </c>
      <c r="C11">
        <v>3385</v>
      </c>
      <c r="D11">
        <v>1260</v>
      </c>
    </row>
    <row r="12" spans="1:11" x14ac:dyDescent="0.25">
      <c r="A12" s="3" t="s">
        <v>75</v>
      </c>
      <c r="B12">
        <v>11047</v>
      </c>
      <c r="C12">
        <v>6526</v>
      </c>
      <c r="D12">
        <v>4521</v>
      </c>
    </row>
    <row r="13" spans="1:11" x14ac:dyDescent="0.25">
      <c r="A13" s="3" t="s">
        <v>76</v>
      </c>
      <c r="B13">
        <v>4764</v>
      </c>
      <c r="C13">
        <v>2838</v>
      </c>
      <c r="D13">
        <v>1926</v>
      </c>
    </row>
    <row r="14" spans="1:11" x14ac:dyDescent="0.25">
      <c r="A14" s="3" t="s">
        <v>77</v>
      </c>
      <c r="B14">
        <v>9813</v>
      </c>
      <c r="C14">
        <v>5218</v>
      </c>
      <c r="D14">
        <v>4595</v>
      </c>
    </row>
    <row r="15" spans="1:11" x14ac:dyDescent="0.25">
      <c r="A15" s="3" t="s">
        <v>78</v>
      </c>
      <c r="B15">
        <v>9884</v>
      </c>
      <c r="C15">
        <v>6451</v>
      </c>
      <c r="D15">
        <v>3433</v>
      </c>
    </row>
    <row r="16" spans="1:11" x14ac:dyDescent="0.25">
      <c r="A16" s="3" t="s">
        <v>79</v>
      </c>
      <c r="B16">
        <v>8937</v>
      </c>
      <c r="C16">
        <v>6300</v>
      </c>
      <c r="D16">
        <v>2637</v>
      </c>
    </row>
    <row r="17" spans="1:4" x14ac:dyDescent="0.25">
      <c r="A17" s="3" t="s">
        <v>80</v>
      </c>
      <c r="B17">
        <v>7373</v>
      </c>
      <c r="C17">
        <v>5472</v>
      </c>
      <c r="D17">
        <v>1901</v>
      </c>
    </row>
    <row r="18" spans="1:4" x14ac:dyDescent="0.25">
      <c r="A18" s="3" t="s">
        <v>81</v>
      </c>
      <c r="B18">
        <v>7613</v>
      </c>
      <c r="C18">
        <v>5445</v>
      </c>
      <c r="D18">
        <v>2168</v>
      </c>
    </row>
    <row r="19" spans="1:4" x14ac:dyDescent="0.25">
      <c r="A19" s="3" t="s">
        <v>82</v>
      </c>
      <c r="B19">
        <v>9728</v>
      </c>
      <c r="C19">
        <v>6201</v>
      </c>
      <c r="D19">
        <v>3527</v>
      </c>
    </row>
    <row r="20" spans="1:4" x14ac:dyDescent="0.25">
      <c r="A20" s="3" t="s">
        <v>83</v>
      </c>
      <c r="B20">
        <v>12548</v>
      </c>
      <c r="C20">
        <v>6287</v>
      </c>
      <c r="D20">
        <v>6261</v>
      </c>
    </row>
    <row r="21" spans="1:4" x14ac:dyDescent="0.25">
      <c r="A21" s="3" t="s">
        <v>84</v>
      </c>
      <c r="B21">
        <v>11891</v>
      </c>
      <c r="C21">
        <v>6128</v>
      </c>
      <c r="D21">
        <v>5763</v>
      </c>
    </row>
    <row r="22" spans="1:4" x14ac:dyDescent="0.25">
      <c r="A22" s="3" t="s">
        <v>85</v>
      </c>
      <c r="B22">
        <v>5883</v>
      </c>
      <c r="C22">
        <v>4396</v>
      </c>
      <c r="D22">
        <v>1487</v>
      </c>
    </row>
    <row r="23" spans="1:4" x14ac:dyDescent="0.25">
      <c r="A23" s="3" t="s">
        <v>86</v>
      </c>
      <c r="B23">
        <v>5561</v>
      </c>
      <c r="C23">
        <v>4268</v>
      </c>
      <c r="D23">
        <v>1293</v>
      </c>
    </row>
    <row r="24" spans="1:4" x14ac:dyDescent="0.25">
      <c r="A24" s="3" t="s">
        <v>87</v>
      </c>
      <c r="B24">
        <v>5671</v>
      </c>
      <c r="C24">
        <v>4350</v>
      </c>
      <c r="D24">
        <v>1321</v>
      </c>
    </row>
    <row r="25" spans="1:4" x14ac:dyDescent="0.25">
      <c r="A25" s="3" t="s">
        <v>88</v>
      </c>
      <c r="B25">
        <v>9492</v>
      </c>
      <c r="C25">
        <v>6370</v>
      </c>
      <c r="D25">
        <v>3122</v>
      </c>
    </row>
    <row r="26" spans="1:4" x14ac:dyDescent="0.25">
      <c r="A26" s="3" t="s">
        <v>89</v>
      </c>
      <c r="B26">
        <v>11813</v>
      </c>
      <c r="C26">
        <v>7206</v>
      </c>
      <c r="D26">
        <v>4607</v>
      </c>
    </row>
    <row r="27" spans="1:4" x14ac:dyDescent="0.25">
      <c r="A27" s="3" t="s">
        <v>90</v>
      </c>
      <c r="B27">
        <v>13328</v>
      </c>
      <c r="C27">
        <v>6753</v>
      </c>
      <c r="D27">
        <v>6575</v>
      </c>
    </row>
    <row r="28" spans="1:4" x14ac:dyDescent="0.25">
      <c r="A28" s="3" t="s">
        <v>91</v>
      </c>
      <c r="B28">
        <v>7717</v>
      </c>
      <c r="C28">
        <v>4455</v>
      </c>
      <c r="D28">
        <v>3262</v>
      </c>
    </row>
    <row r="29" spans="1:4" x14ac:dyDescent="0.25">
      <c r="A29" s="3" t="s">
        <v>92</v>
      </c>
      <c r="B29">
        <v>12754</v>
      </c>
      <c r="C29">
        <v>7678</v>
      </c>
      <c r="D29">
        <v>5076</v>
      </c>
    </row>
    <row r="30" spans="1:4" x14ac:dyDescent="0.25">
      <c r="A30" s="3" t="s">
        <v>93</v>
      </c>
      <c r="B30">
        <v>16214</v>
      </c>
      <c r="C30">
        <v>9185</v>
      </c>
      <c r="D30">
        <v>7029</v>
      </c>
    </row>
    <row r="31" spans="1:4" x14ac:dyDescent="0.25">
      <c r="A31" s="3" t="s">
        <v>94</v>
      </c>
      <c r="B31">
        <v>5780</v>
      </c>
      <c r="C31">
        <v>4396</v>
      </c>
      <c r="D31">
        <v>1384</v>
      </c>
    </row>
    <row r="32" spans="1:4" x14ac:dyDescent="0.25">
      <c r="A32" s="3" t="s">
        <v>95</v>
      </c>
      <c r="B32">
        <v>8443</v>
      </c>
      <c r="C32">
        <v>5845</v>
      </c>
      <c r="D32">
        <v>2598</v>
      </c>
    </row>
    <row r="33" spans="1:4" x14ac:dyDescent="0.25">
      <c r="A33" s="3" t="s">
        <v>96</v>
      </c>
      <c r="B33">
        <v>10577</v>
      </c>
      <c r="C33">
        <v>6585</v>
      </c>
      <c r="D33">
        <v>3992</v>
      </c>
    </row>
    <row r="34" spans="1:4" x14ac:dyDescent="0.25">
      <c r="A34" s="3" t="s">
        <v>97</v>
      </c>
      <c r="B34">
        <v>21690</v>
      </c>
      <c r="C34">
        <v>8851</v>
      </c>
      <c r="D34">
        <v>12839</v>
      </c>
    </row>
    <row r="35" spans="1:4" x14ac:dyDescent="0.25">
      <c r="A35" s="3" t="s">
        <v>98</v>
      </c>
      <c r="B35">
        <v>22206</v>
      </c>
      <c r="C35">
        <v>8657</v>
      </c>
      <c r="D35">
        <v>13549</v>
      </c>
    </row>
    <row r="36" spans="1:4" x14ac:dyDescent="0.25">
      <c r="A36" s="3" t="s">
        <v>99</v>
      </c>
      <c r="B36">
        <v>8531</v>
      </c>
      <c r="C36">
        <v>5508</v>
      </c>
      <c r="D36">
        <v>3023</v>
      </c>
    </row>
    <row r="37" spans="1:4" x14ac:dyDescent="0.25">
      <c r="A37" s="3" t="s">
        <v>100</v>
      </c>
      <c r="B37">
        <v>7884</v>
      </c>
      <c r="C37">
        <v>5690</v>
      </c>
      <c r="D37">
        <v>2194</v>
      </c>
    </row>
    <row r="38" spans="1:4" x14ac:dyDescent="0.25">
      <c r="A38" s="3" t="s">
        <v>101</v>
      </c>
      <c r="B38">
        <v>10693</v>
      </c>
      <c r="C38">
        <v>7244</v>
      </c>
      <c r="D38">
        <v>3449</v>
      </c>
    </row>
    <row r="39" spans="1:4" x14ac:dyDescent="0.25">
      <c r="A39" s="3" t="s">
        <v>102</v>
      </c>
      <c r="B39">
        <v>8006</v>
      </c>
      <c r="C39">
        <v>5550</v>
      </c>
      <c r="D39">
        <v>2456</v>
      </c>
    </row>
    <row r="40" spans="1:4" x14ac:dyDescent="0.25">
      <c r="A40" s="3" t="s">
        <v>103</v>
      </c>
      <c r="B40">
        <v>11233</v>
      </c>
      <c r="C40">
        <v>6828</v>
      </c>
      <c r="D40">
        <v>4405</v>
      </c>
    </row>
    <row r="41" spans="1:4" x14ac:dyDescent="0.25">
      <c r="A41" s="3" t="s">
        <v>104</v>
      </c>
      <c r="B41">
        <v>12929</v>
      </c>
      <c r="C41">
        <v>6428</v>
      </c>
      <c r="D41">
        <v>6501</v>
      </c>
    </row>
    <row r="42" spans="1:4" x14ac:dyDescent="0.25">
      <c r="A42" s="3" t="s">
        <v>105</v>
      </c>
      <c r="B42">
        <v>6071</v>
      </c>
      <c r="C42">
        <v>3454</v>
      </c>
      <c r="D42">
        <v>2617</v>
      </c>
    </row>
    <row r="43" spans="1:4" x14ac:dyDescent="0.25">
      <c r="A43" s="3" t="s">
        <v>106</v>
      </c>
      <c r="B43">
        <v>7876</v>
      </c>
      <c r="C43">
        <v>5463</v>
      </c>
      <c r="D43">
        <v>2413</v>
      </c>
    </row>
    <row r="44" spans="1:4" x14ac:dyDescent="0.25">
      <c r="A44" s="3" t="s">
        <v>107</v>
      </c>
      <c r="B44">
        <v>9380</v>
      </c>
      <c r="C44">
        <v>6538</v>
      </c>
      <c r="D44">
        <v>2842</v>
      </c>
    </row>
    <row r="45" spans="1:4" x14ac:dyDescent="0.25">
      <c r="A45" s="3" t="s">
        <v>108</v>
      </c>
      <c r="B45">
        <v>11428</v>
      </c>
      <c r="C45">
        <v>7683</v>
      </c>
      <c r="D45">
        <v>3745</v>
      </c>
    </row>
    <row r="46" spans="1:4" x14ac:dyDescent="0.25">
      <c r="A46" s="3" t="s">
        <v>109</v>
      </c>
      <c r="B46">
        <v>14119</v>
      </c>
      <c r="C46">
        <v>8630</v>
      </c>
      <c r="D46">
        <v>5489</v>
      </c>
    </row>
    <row r="47" spans="1:4" x14ac:dyDescent="0.25">
      <c r="A47" s="3" t="s">
        <v>110</v>
      </c>
      <c r="B47">
        <v>17265</v>
      </c>
      <c r="C47">
        <v>9208</v>
      </c>
      <c r="D47">
        <v>8057</v>
      </c>
    </row>
    <row r="48" spans="1:4" x14ac:dyDescent="0.25">
      <c r="A48" s="3" t="s">
        <v>111</v>
      </c>
      <c r="B48">
        <v>13049</v>
      </c>
      <c r="C48">
        <v>5932</v>
      </c>
      <c r="D48">
        <v>7117</v>
      </c>
    </row>
    <row r="49" spans="1:4" x14ac:dyDescent="0.25">
      <c r="A49" s="3" t="s">
        <v>112</v>
      </c>
      <c r="B49">
        <v>20364</v>
      </c>
      <c r="C49">
        <v>8466</v>
      </c>
      <c r="D49">
        <v>11898</v>
      </c>
    </row>
    <row r="50" spans="1:4" x14ac:dyDescent="0.25">
      <c r="A50" s="3" t="s">
        <v>113</v>
      </c>
      <c r="B50">
        <v>12795</v>
      </c>
      <c r="C50">
        <v>7823</v>
      </c>
      <c r="D50">
        <v>4972</v>
      </c>
    </row>
    <row r="51" spans="1:4" x14ac:dyDescent="0.25">
      <c r="A51" s="3" t="s">
        <v>114</v>
      </c>
      <c r="B51">
        <v>10549</v>
      </c>
      <c r="C51">
        <v>6850</v>
      </c>
      <c r="D51">
        <v>3699</v>
      </c>
    </row>
    <row r="52" spans="1:4" x14ac:dyDescent="0.25">
      <c r="A52" s="3" t="s">
        <v>115</v>
      </c>
      <c r="B52">
        <v>13406</v>
      </c>
      <c r="C52">
        <v>8623</v>
      </c>
      <c r="D52">
        <v>4783</v>
      </c>
    </row>
    <row r="53" spans="1:4" x14ac:dyDescent="0.25">
      <c r="A53" s="3" t="s">
        <v>116</v>
      </c>
      <c r="B53">
        <v>17304</v>
      </c>
      <c r="C53">
        <v>9753</v>
      </c>
      <c r="D53">
        <v>7551</v>
      </c>
    </row>
    <row r="54" spans="1:4" x14ac:dyDescent="0.25">
      <c r="A54" s="3" t="s">
        <v>117</v>
      </c>
      <c r="B54">
        <v>20889</v>
      </c>
      <c r="C54">
        <v>10288</v>
      </c>
      <c r="D54">
        <v>10601</v>
      </c>
    </row>
    <row r="55" spans="1:4" x14ac:dyDescent="0.25">
      <c r="A55" s="3" t="s">
        <v>118</v>
      </c>
      <c r="B55">
        <v>30104</v>
      </c>
      <c r="C55">
        <v>10985</v>
      </c>
      <c r="D55">
        <v>19119</v>
      </c>
    </row>
    <row r="56" spans="1:4" x14ac:dyDescent="0.25">
      <c r="A56" s="3" t="s">
        <v>119</v>
      </c>
      <c r="B56">
        <v>18677</v>
      </c>
      <c r="C56">
        <v>7703</v>
      </c>
      <c r="D56">
        <v>10974</v>
      </c>
    </row>
    <row r="57" spans="1:4" x14ac:dyDescent="0.25">
      <c r="A57" s="3" t="s">
        <v>120</v>
      </c>
      <c r="B57">
        <v>16910</v>
      </c>
      <c r="C57">
        <v>9501</v>
      </c>
      <c r="D57">
        <v>7409</v>
      </c>
    </row>
    <row r="58" spans="1:4" x14ac:dyDescent="0.25">
      <c r="A58" s="3" t="s">
        <v>121</v>
      </c>
      <c r="B58">
        <v>15846</v>
      </c>
      <c r="C58">
        <v>9589</v>
      </c>
      <c r="D58">
        <v>6257</v>
      </c>
    </row>
    <row r="59" spans="1:4" x14ac:dyDescent="0.25">
      <c r="A59" s="3" t="s">
        <v>122</v>
      </c>
      <c r="B59">
        <v>17105</v>
      </c>
      <c r="C59">
        <v>10155</v>
      </c>
      <c r="D59">
        <v>6950</v>
      </c>
    </row>
    <row r="60" spans="1:4" x14ac:dyDescent="0.25">
      <c r="A60" s="3" t="s">
        <v>123</v>
      </c>
      <c r="B60">
        <v>9676</v>
      </c>
      <c r="C60">
        <v>6586</v>
      </c>
      <c r="D60">
        <v>3090</v>
      </c>
    </row>
    <row r="61" spans="1:4" x14ac:dyDescent="0.25">
      <c r="A61" s="3" t="s">
        <v>124</v>
      </c>
      <c r="B61">
        <v>5682</v>
      </c>
      <c r="C61">
        <v>3786</v>
      </c>
      <c r="D61">
        <v>1896</v>
      </c>
    </row>
    <row r="62" spans="1:4" x14ac:dyDescent="0.25">
      <c r="A62" s="3" t="s">
        <v>125</v>
      </c>
      <c r="B62">
        <v>18111</v>
      </c>
      <c r="C62">
        <v>7460</v>
      </c>
      <c r="D62">
        <v>10651</v>
      </c>
    </row>
    <row r="63" spans="1:4" x14ac:dyDescent="0.25">
      <c r="A63" s="3" t="s">
        <v>126</v>
      </c>
      <c r="B63">
        <v>22761</v>
      </c>
      <c r="C63">
        <v>7667</v>
      </c>
      <c r="D63">
        <v>15094</v>
      </c>
    </row>
    <row r="64" spans="1:4" x14ac:dyDescent="0.25">
      <c r="A64" s="3" t="s">
        <v>127</v>
      </c>
      <c r="B64">
        <v>18455</v>
      </c>
      <c r="C64">
        <v>7266</v>
      </c>
      <c r="D64">
        <v>11189</v>
      </c>
    </row>
    <row r="65" spans="1:4" x14ac:dyDescent="0.25">
      <c r="A65" s="3" t="s">
        <v>8</v>
      </c>
      <c r="B65">
        <v>16354</v>
      </c>
      <c r="C65">
        <v>9436</v>
      </c>
      <c r="D65">
        <v>6918</v>
      </c>
    </row>
    <row r="66" spans="1:4" x14ac:dyDescent="0.25">
      <c r="A66" s="3" t="s">
        <v>9</v>
      </c>
      <c r="B66">
        <v>17081</v>
      </c>
      <c r="C66">
        <v>10354</v>
      </c>
      <c r="D66">
        <v>6727</v>
      </c>
    </row>
    <row r="67" spans="1:4" x14ac:dyDescent="0.25">
      <c r="A67" s="3" t="s">
        <v>10</v>
      </c>
      <c r="B67">
        <v>19631</v>
      </c>
      <c r="C67">
        <v>10939</v>
      </c>
      <c r="D67">
        <v>8692</v>
      </c>
    </row>
    <row r="68" spans="1:4" x14ac:dyDescent="0.25">
      <c r="A68" s="3" t="s">
        <v>11</v>
      </c>
      <c r="B68">
        <v>21521</v>
      </c>
      <c r="C68">
        <v>10718</v>
      </c>
      <c r="D68">
        <v>10803</v>
      </c>
    </row>
    <row r="69" spans="1:4" x14ac:dyDescent="0.25">
      <c r="A69" s="3" t="s">
        <v>12</v>
      </c>
      <c r="B69">
        <v>30320</v>
      </c>
      <c r="C69">
        <v>11207</v>
      </c>
      <c r="D69">
        <v>19113</v>
      </c>
    </row>
    <row r="70" spans="1:4" x14ac:dyDescent="0.25">
      <c r="A70" s="3" t="s">
        <v>13</v>
      </c>
      <c r="B70">
        <v>24527</v>
      </c>
      <c r="C70">
        <v>9675</v>
      </c>
      <c r="D70">
        <v>14852</v>
      </c>
    </row>
    <row r="71" spans="1:4" x14ac:dyDescent="0.25">
      <c r="A71" s="3" t="s">
        <v>14</v>
      </c>
      <c r="B71">
        <v>14793</v>
      </c>
      <c r="C71">
        <v>8579</v>
      </c>
      <c r="D71">
        <v>6214</v>
      </c>
    </row>
    <row r="72" spans="1:4" x14ac:dyDescent="0.25">
      <c r="A72" s="3" t="s">
        <v>15</v>
      </c>
      <c r="B72">
        <v>18815</v>
      </c>
      <c r="C72">
        <v>10925</v>
      </c>
      <c r="D72">
        <v>7890</v>
      </c>
    </row>
    <row r="73" spans="1:4" x14ac:dyDescent="0.25">
      <c r="A73" s="3" t="s">
        <v>16</v>
      </c>
      <c r="B73">
        <v>20676</v>
      </c>
      <c r="C73">
        <v>11794</v>
      </c>
      <c r="D73">
        <v>8882</v>
      </c>
    </row>
    <row r="74" spans="1:4" x14ac:dyDescent="0.25">
      <c r="A74" s="3" t="s">
        <v>17</v>
      </c>
      <c r="B74">
        <v>21281</v>
      </c>
      <c r="C74">
        <v>11581</v>
      </c>
      <c r="D74">
        <v>9700</v>
      </c>
    </row>
    <row r="75" spans="1:4" x14ac:dyDescent="0.25">
      <c r="A75" s="3" t="s">
        <v>18</v>
      </c>
      <c r="B75">
        <v>24869</v>
      </c>
      <c r="C75">
        <v>11696</v>
      </c>
      <c r="D75">
        <v>13173</v>
      </c>
    </row>
    <row r="76" spans="1:4" x14ac:dyDescent="0.25">
      <c r="A76" s="3" t="s">
        <v>19</v>
      </c>
      <c r="B76">
        <v>28841</v>
      </c>
      <c r="C76">
        <v>10774</v>
      </c>
      <c r="D76">
        <v>18067</v>
      </c>
    </row>
    <row r="77" spans="1:4" x14ac:dyDescent="0.25">
      <c r="A77" s="3" t="s">
        <v>20</v>
      </c>
      <c r="B77">
        <v>29919</v>
      </c>
      <c r="C77">
        <v>11020</v>
      </c>
      <c r="D77">
        <v>18899</v>
      </c>
    </row>
    <row r="78" spans="1:4" x14ac:dyDescent="0.25">
      <c r="A78" s="3" t="s">
        <v>21</v>
      </c>
      <c r="B78">
        <v>19366</v>
      </c>
      <c r="C78">
        <v>10418</v>
      </c>
      <c r="D78">
        <v>8948</v>
      </c>
    </row>
    <row r="79" spans="1:4" x14ac:dyDescent="0.25">
      <c r="A79" s="3" t="s">
        <v>22</v>
      </c>
      <c r="B79">
        <v>20333</v>
      </c>
      <c r="C79">
        <v>11467</v>
      </c>
      <c r="D79">
        <v>8866</v>
      </c>
    </row>
    <row r="80" spans="1:4" x14ac:dyDescent="0.25">
      <c r="A80" s="3" t="s">
        <v>23</v>
      </c>
      <c r="B80">
        <v>21539</v>
      </c>
      <c r="C80">
        <v>12205</v>
      </c>
      <c r="D80">
        <v>9334</v>
      </c>
    </row>
    <row r="81" spans="1:4" x14ac:dyDescent="0.25">
      <c r="A81" s="3" t="s">
        <v>24</v>
      </c>
      <c r="B81">
        <v>21771</v>
      </c>
      <c r="C81">
        <v>11732</v>
      </c>
      <c r="D81">
        <v>10039</v>
      </c>
    </row>
    <row r="82" spans="1:4" x14ac:dyDescent="0.25">
      <c r="A82" s="3" t="s">
        <v>25</v>
      </c>
      <c r="B82">
        <v>23542</v>
      </c>
      <c r="C82">
        <v>10922</v>
      </c>
      <c r="D82">
        <v>12620</v>
      </c>
    </row>
    <row r="83" spans="1:4" x14ac:dyDescent="0.25">
      <c r="A83" s="3" t="s">
        <v>26</v>
      </c>
      <c r="B83">
        <v>31261</v>
      </c>
      <c r="C83">
        <v>11579</v>
      </c>
      <c r="D83">
        <v>19682</v>
      </c>
    </row>
    <row r="84" spans="1:4" x14ac:dyDescent="0.25">
      <c r="A84" s="3" t="s">
        <v>27</v>
      </c>
      <c r="B84">
        <v>18388</v>
      </c>
      <c r="C84">
        <v>7474</v>
      </c>
      <c r="D84">
        <v>10914</v>
      </c>
    </row>
    <row r="85" spans="1:4" x14ac:dyDescent="0.25">
      <c r="A85" s="3" t="s">
        <v>28</v>
      </c>
      <c r="B85">
        <v>17988</v>
      </c>
      <c r="C85">
        <v>10300</v>
      </c>
      <c r="D85">
        <v>7688</v>
      </c>
    </row>
    <row r="86" spans="1:4" x14ac:dyDescent="0.25">
      <c r="A86" s="3" t="s">
        <v>29</v>
      </c>
      <c r="B86">
        <v>20929</v>
      </c>
      <c r="C86">
        <v>11752</v>
      </c>
      <c r="D86">
        <v>9177</v>
      </c>
    </row>
    <row r="87" spans="1:4" x14ac:dyDescent="0.25">
      <c r="A87" s="3" t="s">
        <v>30</v>
      </c>
      <c r="B87">
        <v>19720</v>
      </c>
      <c r="C87">
        <v>11415</v>
      </c>
      <c r="D87">
        <v>8305</v>
      </c>
    </row>
    <row r="88" spans="1:4" x14ac:dyDescent="0.25">
      <c r="A88" s="3" t="s">
        <v>31</v>
      </c>
      <c r="B88">
        <v>12373</v>
      </c>
      <c r="C88">
        <v>7671</v>
      </c>
      <c r="D88">
        <v>4702</v>
      </c>
    </row>
    <row r="89" spans="1:4" x14ac:dyDescent="0.25">
      <c r="A89" s="3" t="s">
        <v>32</v>
      </c>
      <c r="B89">
        <v>13415</v>
      </c>
      <c r="C89">
        <v>6920</v>
      </c>
      <c r="D89">
        <v>6495</v>
      </c>
    </row>
    <row r="90" spans="1:4" x14ac:dyDescent="0.25">
      <c r="A90" s="3" t="s">
        <v>33</v>
      </c>
      <c r="B90">
        <v>11694</v>
      </c>
      <c r="C90">
        <v>5288</v>
      </c>
      <c r="D90">
        <v>6406</v>
      </c>
    </row>
    <row r="91" spans="1:4" x14ac:dyDescent="0.25">
      <c r="A91" s="3" t="s">
        <v>34</v>
      </c>
      <c r="B91">
        <v>24158</v>
      </c>
      <c r="C91">
        <v>10003</v>
      </c>
      <c r="D91">
        <v>14155</v>
      </c>
    </row>
    <row r="92" spans="1:4" x14ac:dyDescent="0.25">
      <c r="A92" s="3" t="s">
        <v>35</v>
      </c>
      <c r="B92">
        <v>13383</v>
      </c>
      <c r="C92">
        <v>8126</v>
      </c>
      <c r="D92">
        <v>5257</v>
      </c>
    </row>
    <row r="93" spans="1:4" x14ac:dyDescent="0.25">
      <c r="A93" s="3" t="s">
        <v>36</v>
      </c>
      <c r="B93">
        <v>14631</v>
      </c>
      <c r="C93">
        <v>8826</v>
      </c>
      <c r="D93">
        <v>5805</v>
      </c>
    </row>
    <row r="94" spans="1:4" x14ac:dyDescent="0.25">
      <c r="A94" s="3" t="s">
        <v>37</v>
      </c>
      <c r="B94">
        <v>15659</v>
      </c>
      <c r="C94">
        <v>9790</v>
      </c>
      <c r="D94">
        <v>5869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46EB3-19E2-4234-8383-4E832E1FF452}">
  <dimension ref="A1:D92"/>
  <sheetViews>
    <sheetView workbookViewId="0">
      <selection sqref="A1:D92"/>
    </sheetView>
  </sheetViews>
  <sheetFormatPr defaultRowHeight="15" x14ac:dyDescent="0.25"/>
  <cols>
    <col min="1" max="1" width="10.85546875" bestFit="1" customWidth="1"/>
    <col min="2" max="2" width="9.5703125" bestFit="1" customWidth="1"/>
    <col min="3" max="3" width="8.7109375" bestFit="1" customWidth="1"/>
    <col min="4" max="4" width="10.85546875" bestFit="1" customWidth="1"/>
  </cols>
  <sheetData>
    <row r="1" spans="1:4" x14ac:dyDescent="0.25">
      <c r="A1" t="s">
        <v>0</v>
      </c>
      <c r="B1" t="s">
        <v>1</v>
      </c>
      <c r="C1" t="s">
        <v>2</v>
      </c>
      <c r="D1" t="s">
        <v>3</v>
      </c>
    </row>
    <row r="2" spans="1:4" x14ac:dyDescent="0.25">
      <c r="A2" s="1">
        <v>44287</v>
      </c>
      <c r="B2">
        <v>4812</v>
      </c>
      <c r="C2">
        <v>1258</v>
      </c>
      <c r="D2">
        <v>3554</v>
      </c>
    </row>
    <row r="3" spans="1:4" x14ac:dyDescent="0.25">
      <c r="A3" s="1">
        <v>44288</v>
      </c>
      <c r="B3">
        <v>8217</v>
      </c>
      <c r="C3">
        <v>3152</v>
      </c>
      <c r="D3">
        <v>5065</v>
      </c>
    </row>
    <row r="4" spans="1:4" x14ac:dyDescent="0.25">
      <c r="A4" s="1">
        <v>44289</v>
      </c>
      <c r="B4">
        <v>17934</v>
      </c>
      <c r="C4">
        <v>10249</v>
      </c>
      <c r="D4">
        <v>7685</v>
      </c>
    </row>
    <row r="5" spans="1:4" x14ac:dyDescent="0.25">
      <c r="A5" s="1">
        <v>44290</v>
      </c>
      <c r="B5">
        <v>15919</v>
      </c>
      <c r="C5">
        <v>9248</v>
      </c>
      <c r="D5">
        <v>6671</v>
      </c>
    </row>
    <row r="6" spans="1:4" x14ac:dyDescent="0.25">
      <c r="A6" s="1">
        <v>44291</v>
      </c>
      <c r="B6">
        <v>10248</v>
      </c>
      <c r="C6">
        <v>4063</v>
      </c>
      <c r="D6">
        <v>6185</v>
      </c>
    </row>
    <row r="7" spans="1:4" x14ac:dyDescent="0.25">
      <c r="A7" s="1">
        <v>44292</v>
      </c>
      <c r="B7">
        <v>15543</v>
      </c>
      <c r="C7">
        <v>6970</v>
      </c>
      <c r="D7">
        <v>8573</v>
      </c>
    </row>
    <row r="8" spans="1:4" x14ac:dyDescent="0.25">
      <c r="A8" s="1">
        <v>44293</v>
      </c>
      <c r="B8">
        <v>14058</v>
      </c>
      <c r="C8">
        <v>5742</v>
      </c>
      <c r="D8">
        <v>8316</v>
      </c>
    </row>
    <row r="9" spans="1:4" x14ac:dyDescent="0.25">
      <c r="A9" s="1">
        <v>44294</v>
      </c>
      <c r="B9">
        <v>4645</v>
      </c>
      <c r="C9">
        <v>1260</v>
      </c>
      <c r="D9">
        <v>3385</v>
      </c>
    </row>
    <row r="10" spans="1:4" x14ac:dyDescent="0.25">
      <c r="A10" s="1">
        <v>44295</v>
      </c>
      <c r="B10">
        <v>11047</v>
      </c>
      <c r="C10">
        <v>4521</v>
      </c>
      <c r="D10">
        <v>6526</v>
      </c>
    </row>
    <row r="11" spans="1:4" x14ac:dyDescent="0.25">
      <c r="A11" s="1">
        <v>44296</v>
      </c>
      <c r="B11">
        <v>4764</v>
      </c>
      <c r="C11">
        <v>1926</v>
      </c>
      <c r="D11">
        <v>2838</v>
      </c>
    </row>
    <row r="12" spans="1:4" x14ac:dyDescent="0.25">
      <c r="A12" s="1">
        <v>44297</v>
      </c>
      <c r="B12">
        <v>9813</v>
      </c>
      <c r="C12">
        <v>4595</v>
      </c>
      <c r="D12">
        <v>5218</v>
      </c>
    </row>
    <row r="13" spans="1:4" x14ac:dyDescent="0.25">
      <c r="A13" s="1">
        <v>44298</v>
      </c>
      <c r="B13">
        <v>9884</v>
      </c>
      <c r="C13">
        <v>3433</v>
      </c>
      <c r="D13">
        <v>6451</v>
      </c>
    </row>
    <row r="14" spans="1:4" x14ac:dyDescent="0.25">
      <c r="A14" s="1">
        <v>44299</v>
      </c>
      <c r="B14">
        <v>8937</v>
      </c>
      <c r="C14">
        <v>2637</v>
      </c>
      <c r="D14">
        <v>6300</v>
      </c>
    </row>
    <row r="15" spans="1:4" x14ac:dyDescent="0.25">
      <c r="A15" s="1">
        <v>44300</v>
      </c>
      <c r="B15">
        <v>7373</v>
      </c>
      <c r="C15">
        <v>1901</v>
      </c>
      <c r="D15">
        <v>5472</v>
      </c>
    </row>
    <row r="16" spans="1:4" x14ac:dyDescent="0.25">
      <c r="A16" s="1">
        <v>44301</v>
      </c>
      <c r="B16">
        <v>7613</v>
      </c>
      <c r="C16">
        <v>2168</v>
      </c>
      <c r="D16">
        <v>5445</v>
      </c>
    </row>
    <row r="17" spans="1:4" x14ac:dyDescent="0.25">
      <c r="A17" s="1">
        <v>44302</v>
      </c>
      <c r="B17">
        <v>9728</v>
      </c>
      <c r="C17">
        <v>3527</v>
      </c>
      <c r="D17">
        <v>6201</v>
      </c>
    </row>
    <row r="18" spans="1:4" x14ac:dyDescent="0.25">
      <c r="A18" s="1">
        <v>44303</v>
      </c>
      <c r="B18">
        <v>12548</v>
      </c>
      <c r="C18">
        <v>6261</v>
      </c>
      <c r="D18">
        <v>6287</v>
      </c>
    </row>
    <row r="19" spans="1:4" x14ac:dyDescent="0.25">
      <c r="A19" s="1">
        <v>44304</v>
      </c>
      <c r="B19">
        <v>11891</v>
      </c>
      <c r="C19">
        <v>5763</v>
      </c>
      <c r="D19">
        <v>6128</v>
      </c>
    </row>
    <row r="20" spans="1:4" x14ac:dyDescent="0.25">
      <c r="A20" s="1">
        <v>44305</v>
      </c>
      <c r="B20">
        <v>5883</v>
      </c>
      <c r="C20">
        <v>1487</v>
      </c>
      <c r="D20">
        <v>4396</v>
      </c>
    </row>
    <row r="21" spans="1:4" x14ac:dyDescent="0.25">
      <c r="A21" s="1">
        <v>44306</v>
      </c>
      <c r="B21">
        <v>5561</v>
      </c>
      <c r="C21">
        <v>1293</v>
      </c>
      <c r="D21">
        <v>4268</v>
      </c>
    </row>
    <row r="22" spans="1:4" x14ac:dyDescent="0.25">
      <c r="A22" s="1">
        <v>44307</v>
      </c>
      <c r="B22">
        <v>5671</v>
      </c>
      <c r="C22">
        <v>1321</v>
      </c>
      <c r="D22">
        <v>4350</v>
      </c>
    </row>
    <row r="23" spans="1:4" x14ac:dyDescent="0.25">
      <c r="A23" s="1">
        <v>44308</v>
      </c>
      <c r="B23">
        <v>9492</v>
      </c>
      <c r="C23">
        <v>3122</v>
      </c>
      <c r="D23">
        <v>6370</v>
      </c>
    </row>
    <row r="24" spans="1:4" x14ac:dyDescent="0.25">
      <c r="A24" s="1">
        <v>44309</v>
      </c>
      <c r="B24">
        <v>11813</v>
      </c>
      <c r="C24">
        <v>4607</v>
      </c>
      <c r="D24">
        <v>7206</v>
      </c>
    </row>
    <row r="25" spans="1:4" x14ac:dyDescent="0.25">
      <c r="A25" s="1">
        <v>44310</v>
      </c>
      <c r="B25">
        <v>13328</v>
      </c>
      <c r="C25">
        <v>6575</v>
      </c>
      <c r="D25">
        <v>6753</v>
      </c>
    </row>
    <row r="26" spans="1:4" x14ac:dyDescent="0.25">
      <c r="A26" s="1">
        <v>44311</v>
      </c>
      <c r="B26">
        <v>7717</v>
      </c>
      <c r="C26">
        <v>3262</v>
      </c>
      <c r="D26">
        <v>4455</v>
      </c>
    </row>
    <row r="27" spans="1:4" x14ac:dyDescent="0.25">
      <c r="A27" s="1">
        <v>44312</v>
      </c>
      <c r="B27">
        <v>12754</v>
      </c>
      <c r="C27">
        <v>5076</v>
      </c>
      <c r="D27">
        <v>7678</v>
      </c>
    </row>
    <row r="28" spans="1:4" x14ac:dyDescent="0.25">
      <c r="A28" s="1">
        <v>44313</v>
      </c>
      <c r="B28">
        <v>16214</v>
      </c>
      <c r="C28">
        <v>7029</v>
      </c>
      <c r="D28">
        <v>9185</v>
      </c>
    </row>
    <row r="29" spans="1:4" x14ac:dyDescent="0.25">
      <c r="A29" s="1">
        <v>44314</v>
      </c>
      <c r="B29">
        <v>5780</v>
      </c>
      <c r="C29">
        <v>1384</v>
      </c>
      <c r="D29">
        <v>4396</v>
      </c>
    </row>
    <row r="30" spans="1:4" x14ac:dyDescent="0.25">
      <c r="A30" s="1">
        <v>44315</v>
      </c>
      <c r="B30">
        <v>8443</v>
      </c>
      <c r="C30">
        <v>2598</v>
      </c>
      <c r="D30">
        <v>5845</v>
      </c>
    </row>
    <row r="31" spans="1:4" x14ac:dyDescent="0.25">
      <c r="A31" s="1">
        <v>44316</v>
      </c>
      <c r="B31">
        <v>10577</v>
      </c>
      <c r="C31">
        <v>3992</v>
      </c>
      <c r="D31">
        <v>6585</v>
      </c>
    </row>
    <row r="32" spans="1:4" x14ac:dyDescent="0.25">
      <c r="A32" s="1">
        <v>44317</v>
      </c>
      <c r="B32">
        <v>21690</v>
      </c>
      <c r="C32">
        <v>12839</v>
      </c>
      <c r="D32">
        <v>8851</v>
      </c>
    </row>
    <row r="33" spans="1:4" x14ac:dyDescent="0.25">
      <c r="A33" s="1">
        <v>44318</v>
      </c>
      <c r="B33">
        <v>22206</v>
      </c>
      <c r="C33">
        <v>13549</v>
      </c>
      <c r="D33">
        <v>8657</v>
      </c>
    </row>
    <row r="34" spans="1:4" x14ac:dyDescent="0.25">
      <c r="A34" s="1">
        <v>44319</v>
      </c>
      <c r="B34">
        <v>8531</v>
      </c>
      <c r="C34">
        <v>3023</v>
      </c>
      <c r="D34">
        <v>5508</v>
      </c>
    </row>
    <row r="35" spans="1:4" x14ac:dyDescent="0.25">
      <c r="A35" s="1">
        <v>44320</v>
      </c>
      <c r="B35">
        <v>7884</v>
      </c>
      <c r="C35">
        <v>2194</v>
      </c>
      <c r="D35">
        <v>5690</v>
      </c>
    </row>
    <row r="36" spans="1:4" x14ac:dyDescent="0.25">
      <c r="A36" s="1">
        <v>44321</v>
      </c>
      <c r="B36">
        <v>10693</v>
      </c>
      <c r="C36">
        <v>3449</v>
      </c>
      <c r="D36">
        <v>7244</v>
      </c>
    </row>
    <row r="37" spans="1:4" x14ac:dyDescent="0.25">
      <c r="A37" s="1">
        <v>44322</v>
      </c>
      <c r="B37">
        <v>8006</v>
      </c>
      <c r="C37">
        <v>2456</v>
      </c>
      <c r="D37">
        <v>5550</v>
      </c>
    </row>
    <row r="38" spans="1:4" x14ac:dyDescent="0.25">
      <c r="A38" s="1">
        <v>44323</v>
      </c>
      <c r="B38">
        <v>11233</v>
      </c>
      <c r="C38">
        <v>4405</v>
      </c>
      <c r="D38">
        <v>6828</v>
      </c>
    </row>
    <row r="39" spans="1:4" x14ac:dyDescent="0.25">
      <c r="A39" s="1">
        <v>44324</v>
      </c>
      <c r="B39">
        <v>12929</v>
      </c>
      <c r="C39">
        <v>6501</v>
      </c>
      <c r="D39">
        <v>6428</v>
      </c>
    </row>
    <row r="40" spans="1:4" x14ac:dyDescent="0.25">
      <c r="A40" s="1">
        <v>44325</v>
      </c>
      <c r="B40">
        <v>6071</v>
      </c>
      <c r="C40">
        <v>2617</v>
      </c>
      <c r="D40">
        <v>3454</v>
      </c>
    </row>
    <row r="41" spans="1:4" x14ac:dyDescent="0.25">
      <c r="A41" s="1">
        <v>44326</v>
      </c>
      <c r="B41">
        <v>7876</v>
      </c>
      <c r="C41">
        <v>2413</v>
      </c>
      <c r="D41">
        <v>5463</v>
      </c>
    </row>
    <row r="42" spans="1:4" x14ac:dyDescent="0.25">
      <c r="A42" s="1">
        <v>44327</v>
      </c>
      <c r="B42">
        <v>9380</v>
      </c>
      <c r="C42">
        <v>2842</v>
      </c>
      <c r="D42">
        <v>6538</v>
      </c>
    </row>
    <row r="43" spans="1:4" x14ac:dyDescent="0.25">
      <c r="A43" s="1">
        <v>44328</v>
      </c>
      <c r="B43">
        <v>11428</v>
      </c>
      <c r="C43">
        <v>3745</v>
      </c>
      <c r="D43">
        <v>7683</v>
      </c>
    </row>
    <row r="44" spans="1:4" x14ac:dyDescent="0.25">
      <c r="A44" s="1">
        <v>44329</v>
      </c>
      <c r="B44">
        <v>14119</v>
      </c>
      <c r="C44">
        <v>5489</v>
      </c>
      <c r="D44">
        <v>8630</v>
      </c>
    </row>
    <row r="45" spans="1:4" x14ac:dyDescent="0.25">
      <c r="A45" s="1">
        <v>44330</v>
      </c>
      <c r="B45">
        <v>17265</v>
      </c>
      <c r="C45">
        <v>8057</v>
      </c>
      <c r="D45">
        <v>9208</v>
      </c>
    </row>
    <row r="46" spans="1:4" x14ac:dyDescent="0.25">
      <c r="A46" s="1">
        <v>44331</v>
      </c>
      <c r="B46">
        <v>13049</v>
      </c>
      <c r="C46">
        <v>7117</v>
      </c>
      <c r="D46">
        <v>5932</v>
      </c>
    </row>
    <row r="47" spans="1:4" x14ac:dyDescent="0.25">
      <c r="A47" s="1">
        <v>44332</v>
      </c>
      <c r="B47">
        <v>20364</v>
      </c>
      <c r="C47">
        <v>11898</v>
      </c>
      <c r="D47">
        <v>8466</v>
      </c>
    </row>
    <row r="48" spans="1:4" x14ac:dyDescent="0.25">
      <c r="A48" s="1">
        <v>44333</v>
      </c>
      <c r="B48">
        <v>12795</v>
      </c>
      <c r="C48">
        <v>4972</v>
      </c>
      <c r="D48">
        <v>7823</v>
      </c>
    </row>
    <row r="49" spans="1:4" x14ac:dyDescent="0.25">
      <c r="A49" s="1">
        <v>44334</v>
      </c>
      <c r="B49">
        <v>10549</v>
      </c>
      <c r="C49">
        <v>3699</v>
      </c>
      <c r="D49">
        <v>6850</v>
      </c>
    </row>
    <row r="50" spans="1:4" x14ac:dyDescent="0.25">
      <c r="A50" s="1">
        <v>44335</v>
      </c>
      <c r="B50">
        <v>13406</v>
      </c>
      <c r="C50">
        <v>4783</v>
      </c>
      <c r="D50">
        <v>8623</v>
      </c>
    </row>
    <row r="51" spans="1:4" x14ac:dyDescent="0.25">
      <c r="A51" s="1">
        <v>44336</v>
      </c>
      <c r="B51">
        <v>17304</v>
      </c>
      <c r="C51">
        <v>7551</v>
      </c>
      <c r="D51">
        <v>9753</v>
      </c>
    </row>
    <row r="52" spans="1:4" x14ac:dyDescent="0.25">
      <c r="A52" s="1">
        <v>44337</v>
      </c>
      <c r="B52">
        <v>20889</v>
      </c>
      <c r="C52">
        <v>10601</v>
      </c>
      <c r="D52">
        <v>10288</v>
      </c>
    </row>
    <row r="53" spans="1:4" x14ac:dyDescent="0.25">
      <c r="A53" s="1">
        <v>44338</v>
      </c>
      <c r="B53">
        <v>30104</v>
      </c>
      <c r="C53">
        <v>19119</v>
      </c>
      <c r="D53">
        <v>10985</v>
      </c>
    </row>
    <row r="54" spans="1:4" x14ac:dyDescent="0.25">
      <c r="A54" s="1">
        <v>44339</v>
      </c>
      <c r="B54">
        <v>18677</v>
      </c>
      <c r="C54">
        <v>10974</v>
      </c>
      <c r="D54">
        <v>7703</v>
      </c>
    </row>
    <row r="55" spans="1:4" x14ac:dyDescent="0.25">
      <c r="A55" s="1">
        <v>44340</v>
      </c>
      <c r="B55">
        <v>16910</v>
      </c>
      <c r="C55">
        <v>7409</v>
      </c>
      <c r="D55">
        <v>9501</v>
      </c>
    </row>
    <row r="56" spans="1:4" x14ac:dyDescent="0.25">
      <c r="A56" s="1">
        <v>44341</v>
      </c>
      <c r="B56">
        <v>15846</v>
      </c>
      <c r="C56">
        <v>6257</v>
      </c>
      <c r="D56">
        <v>9589</v>
      </c>
    </row>
    <row r="57" spans="1:4" x14ac:dyDescent="0.25">
      <c r="A57" s="1">
        <v>44342</v>
      </c>
      <c r="B57">
        <v>17105</v>
      </c>
      <c r="C57">
        <v>6950</v>
      </c>
      <c r="D57">
        <v>10155</v>
      </c>
    </row>
    <row r="58" spans="1:4" x14ac:dyDescent="0.25">
      <c r="A58" s="1">
        <v>44343</v>
      </c>
      <c r="B58">
        <v>9676</v>
      </c>
      <c r="C58">
        <v>3090</v>
      </c>
      <c r="D58">
        <v>6586</v>
      </c>
    </row>
    <row r="59" spans="1:4" x14ac:dyDescent="0.25">
      <c r="A59" s="1">
        <v>44344</v>
      </c>
      <c r="B59">
        <v>5682</v>
      </c>
      <c r="C59">
        <v>1896</v>
      </c>
      <c r="D59">
        <v>3786</v>
      </c>
    </row>
    <row r="60" spans="1:4" x14ac:dyDescent="0.25">
      <c r="A60" s="1">
        <v>44345</v>
      </c>
      <c r="B60">
        <v>18111</v>
      </c>
      <c r="C60">
        <v>10651</v>
      </c>
      <c r="D60">
        <v>7460</v>
      </c>
    </row>
    <row r="61" spans="1:4" x14ac:dyDescent="0.25">
      <c r="A61" s="1">
        <v>44346</v>
      </c>
      <c r="B61">
        <v>22761</v>
      </c>
      <c r="C61">
        <v>15094</v>
      </c>
      <c r="D61">
        <v>7667</v>
      </c>
    </row>
    <row r="62" spans="1:4" x14ac:dyDescent="0.25">
      <c r="A62" s="1">
        <v>44347</v>
      </c>
      <c r="B62">
        <v>18455</v>
      </c>
      <c r="C62">
        <v>11189</v>
      </c>
      <c r="D62">
        <v>7266</v>
      </c>
    </row>
    <row r="63" spans="1:4" x14ac:dyDescent="0.25">
      <c r="A63" s="1">
        <v>44348</v>
      </c>
      <c r="B63">
        <v>16354</v>
      </c>
      <c r="C63">
        <v>6918</v>
      </c>
      <c r="D63">
        <v>9436</v>
      </c>
    </row>
    <row r="64" spans="1:4" x14ac:dyDescent="0.25">
      <c r="A64" s="1">
        <v>44349</v>
      </c>
      <c r="B64">
        <v>17081</v>
      </c>
      <c r="C64">
        <v>6727</v>
      </c>
      <c r="D64">
        <v>10354</v>
      </c>
    </row>
    <row r="65" spans="1:4" x14ac:dyDescent="0.25">
      <c r="A65" s="1">
        <v>44350</v>
      </c>
      <c r="B65">
        <v>19631</v>
      </c>
      <c r="C65">
        <v>8692</v>
      </c>
      <c r="D65">
        <v>10939</v>
      </c>
    </row>
    <row r="66" spans="1:4" x14ac:dyDescent="0.25">
      <c r="A66" s="1">
        <v>44351</v>
      </c>
      <c r="B66">
        <v>21521</v>
      </c>
      <c r="C66">
        <v>10803</v>
      </c>
      <c r="D66">
        <v>10718</v>
      </c>
    </row>
    <row r="67" spans="1:4" x14ac:dyDescent="0.25">
      <c r="A67" s="1">
        <v>44352</v>
      </c>
      <c r="B67">
        <v>30320</v>
      </c>
      <c r="C67">
        <v>19113</v>
      </c>
      <c r="D67">
        <v>11207</v>
      </c>
    </row>
    <row r="68" spans="1:4" x14ac:dyDescent="0.25">
      <c r="A68" s="1">
        <v>44353</v>
      </c>
      <c r="B68">
        <v>24527</v>
      </c>
      <c r="C68">
        <v>14852</v>
      </c>
      <c r="D68">
        <v>9675</v>
      </c>
    </row>
    <row r="69" spans="1:4" x14ac:dyDescent="0.25">
      <c r="A69" s="1">
        <v>44354</v>
      </c>
      <c r="B69">
        <v>14793</v>
      </c>
      <c r="C69">
        <v>6214</v>
      </c>
      <c r="D69">
        <v>8579</v>
      </c>
    </row>
    <row r="70" spans="1:4" x14ac:dyDescent="0.25">
      <c r="A70" s="1">
        <v>44355</v>
      </c>
      <c r="B70">
        <v>18815</v>
      </c>
      <c r="C70">
        <v>7890</v>
      </c>
      <c r="D70">
        <v>10925</v>
      </c>
    </row>
    <row r="71" spans="1:4" x14ac:dyDescent="0.25">
      <c r="A71" s="1">
        <v>44356</v>
      </c>
      <c r="B71">
        <v>20676</v>
      </c>
      <c r="C71">
        <v>8882</v>
      </c>
      <c r="D71">
        <v>11794</v>
      </c>
    </row>
    <row r="72" spans="1:4" x14ac:dyDescent="0.25">
      <c r="A72" s="1">
        <v>44357</v>
      </c>
      <c r="B72">
        <v>21281</v>
      </c>
      <c r="C72">
        <v>9700</v>
      </c>
      <c r="D72">
        <v>11581</v>
      </c>
    </row>
    <row r="73" spans="1:4" x14ac:dyDescent="0.25">
      <c r="A73" s="1">
        <v>44358</v>
      </c>
      <c r="B73">
        <v>24869</v>
      </c>
      <c r="C73">
        <v>13173</v>
      </c>
      <c r="D73">
        <v>11696</v>
      </c>
    </row>
    <row r="74" spans="1:4" x14ac:dyDescent="0.25">
      <c r="A74" s="1">
        <v>44359</v>
      </c>
      <c r="B74">
        <v>28841</v>
      </c>
      <c r="C74">
        <v>18067</v>
      </c>
      <c r="D74">
        <v>10774</v>
      </c>
    </row>
    <row r="75" spans="1:4" x14ac:dyDescent="0.25">
      <c r="A75" s="1">
        <v>44360</v>
      </c>
      <c r="B75">
        <v>29919</v>
      </c>
      <c r="C75">
        <v>18899</v>
      </c>
      <c r="D75">
        <v>11020</v>
      </c>
    </row>
    <row r="76" spans="1:4" x14ac:dyDescent="0.25">
      <c r="A76" s="1">
        <v>44361</v>
      </c>
      <c r="B76">
        <v>19366</v>
      </c>
      <c r="C76">
        <v>8948</v>
      </c>
      <c r="D76">
        <v>10418</v>
      </c>
    </row>
    <row r="77" spans="1:4" x14ac:dyDescent="0.25">
      <c r="A77" s="1">
        <v>44362</v>
      </c>
      <c r="B77">
        <v>20333</v>
      </c>
      <c r="C77">
        <v>8866</v>
      </c>
      <c r="D77">
        <v>11467</v>
      </c>
    </row>
    <row r="78" spans="1:4" x14ac:dyDescent="0.25">
      <c r="A78" s="1">
        <v>44363</v>
      </c>
      <c r="B78">
        <v>21539</v>
      </c>
      <c r="C78">
        <v>9334</v>
      </c>
      <c r="D78">
        <v>12205</v>
      </c>
    </row>
    <row r="79" spans="1:4" x14ac:dyDescent="0.25">
      <c r="A79" s="1">
        <v>44364</v>
      </c>
      <c r="B79">
        <v>21771</v>
      </c>
      <c r="C79">
        <v>10039</v>
      </c>
      <c r="D79">
        <v>11732</v>
      </c>
    </row>
    <row r="80" spans="1:4" x14ac:dyDescent="0.25">
      <c r="A80" s="1">
        <v>44365</v>
      </c>
      <c r="B80">
        <v>23542</v>
      </c>
      <c r="C80">
        <v>12620</v>
      </c>
      <c r="D80">
        <v>10922</v>
      </c>
    </row>
    <row r="81" spans="1:4" x14ac:dyDescent="0.25">
      <c r="A81" s="1">
        <v>44366</v>
      </c>
      <c r="B81">
        <v>31261</v>
      </c>
      <c r="C81">
        <v>19682</v>
      </c>
      <c r="D81">
        <v>11579</v>
      </c>
    </row>
    <row r="82" spans="1:4" x14ac:dyDescent="0.25">
      <c r="A82" s="1">
        <v>44367</v>
      </c>
      <c r="B82">
        <v>18388</v>
      </c>
      <c r="C82">
        <v>10914</v>
      </c>
      <c r="D82">
        <v>7474</v>
      </c>
    </row>
    <row r="83" spans="1:4" x14ac:dyDescent="0.25">
      <c r="A83" s="1">
        <v>44368</v>
      </c>
      <c r="B83">
        <v>17988</v>
      </c>
      <c r="C83">
        <v>7688</v>
      </c>
      <c r="D83">
        <v>10300</v>
      </c>
    </row>
    <row r="84" spans="1:4" x14ac:dyDescent="0.25">
      <c r="A84" s="1">
        <v>44369</v>
      </c>
      <c r="B84">
        <v>20929</v>
      </c>
      <c r="C84">
        <v>9177</v>
      </c>
      <c r="D84">
        <v>11752</v>
      </c>
    </row>
    <row r="85" spans="1:4" x14ac:dyDescent="0.25">
      <c r="A85" s="1">
        <v>44370</v>
      </c>
      <c r="B85">
        <v>19720</v>
      </c>
      <c r="C85">
        <v>8305</v>
      </c>
      <c r="D85">
        <v>11415</v>
      </c>
    </row>
    <row r="86" spans="1:4" x14ac:dyDescent="0.25">
      <c r="A86" s="1">
        <v>44371</v>
      </c>
      <c r="B86">
        <v>12373</v>
      </c>
      <c r="C86">
        <v>4702</v>
      </c>
      <c r="D86">
        <v>7671</v>
      </c>
    </row>
    <row r="87" spans="1:4" x14ac:dyDescent="0.25">
      <c r="A87" s="1">
        <v>44372</v>
      </c>
      <c r="B87">
        <v>13415</v>
      </c>
      <c r="C87">
        <v>6495</v>
      </c>
      <c r="D87">
        <v>6920</v>
      </c>
    </row>
    <row r="88" spans="1:4" x14ac:dyDescent="0.25">
      <c r="A88" s="1">
        <v>44373</v>
      </c>
      <c r="B88">
        <v>11694</v>
      </c>
      <c r="C88">
        <v>6406</v>
      </c>
      <c r="D88">
        <v>5288</v>
      </c>
    </row>
    <row r="89" spans="1:4" x14ac:dyDescent="0.25">
      <c r="A89" s="1">
        <v>44374</v>
      </c>
      <c r="B89">
        <v>24158</v>
      </c>
      <c r="C89">
        <v>14155</v>
      </c>
      <c r="D89">
        <v>10003</v>
      </c>
    </row>
    <row r="90" spans="1:4" x14ac:dyDescent="0.25">
      <c r="A90" s="1">
        <v>44375</v>
      </c>
      <c r="B90">
        <v>13383</v>
      </c>
      <c r="C90">
        <v>5257</v>
      </c>
      <c r="D90">
        <v>8126</v>
      </c>
    </row>
    <row r="91" spans="1:4" x14ac:dyDescent="0.25">
      <c r="A91" s="1">
        <v>44376</v>
      </c>
      <c r="B91">
        <v>14631</v>
      </c>
      <c r="C91">
        <v>5805</v>
      </c>
      <c r="D91">
        <v>8826</v>
      </c>
    </row>
    <row r="92" spans="1:4" x14ac:dyDescent="0.25">
      <c r="A92" s="1">
        <v>44377</v>
      </c>
      <c r="B92">
        <v>15659</v>
      </c>
      <c r="C92">
        <v>5869</v>
      </c>
      <c r="D92">
        <v>9790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AC15E-9175-4235-947D-D441A990F401}">
  <dimension ref="A1:D92"/>
  <sheetViews>
    <sheetView workbookViewId="0">
      <selection activeCell="B3" sqref="B3"/>
    </sheetView>
  </sheetViews>
  <sheetFormatPr defaultRowHeight="15" x14ac:dyDescent="0.25"/>
  <cols>
    <col min="1" max="1" width="10.85546875" bestFit="1" customWidth="1"/>
    <col min="2" max="2" width="9.5703125" bestFit="1" customWidth="1"/>
    <col min="3" max="3" width="12.140625" bestFit="1" customWidth="1"/>
  </cols>
  <sheetData>
    <row r="1" spans="1:4" x14ac:dyDescent="0.25">
      <c r="A1" t="s">
        <v>0</v>
      </c>
      <c r="B1" t="s">
        <v>1</v>
      </c>
      <c r="C1" t="s">
        <v>47</v>
      </c>
      <c r="D1" t="s">
        <v>43</v>
      </c>
    </row>
    <row r="2" spans="1:4" x14ac:dyDescent="0.25">
      <c r="A2" s="1">
        <v>44287</v>
      </c>
      <c r="B2">
        <v>4812</v>
      </c>
      <c r="C2" t="s">
        <v>52</v>
      </c>
      <c r="D2">
        <v>4</v>
      </c>
    </row>
    <row r="3" spans="1:4" x14ac:dyDescent="0.25">
      <c r="A3" s="1">
        <v>44288</v>
      </c>
      <c r="B3">
        <v>8217</v>
      </c>
      <c r="C3" t="s">
        <v>48</v>
      </c>
      <c r="D3">
        <v>4</v>
      </c>
    </row>
    <row r="4" spans="1:4" x14ac:dyDescent="0.25">
      <c r="A4" s="1">
        <v>44289</v>
      </c>
      <c r="B4">
        <v>17934</v>
      </c>
      <c r="C4" t="s">
        <v>50</v>
      </c>
      <c r="D4">
        <v>4</v>
      </c>
    </row>
    <row r="5" spans="1:4" x14ac:dyDescent="0.25">
      <c r="A5" s="1">
        <v>44290</v>
      </c>
      <c r="B5">
        <v>15919</v>
      </c>
      <c r="C5" t="s">
        <v>51</v>
      </c>
      <c r="D5">
        <v>4</v>
      </c>
    </row>
    <row r="6" spans="1:4" x14ac:dyDescent="0.25">
      <c r="A6" s="1">
        <v>44291</v>
      </c>
      <c r="B6">
        <v>10248</v>
      </c>
      <c r="C6" t="s">
        <v>49</v>
      </c>
      <c r="D6">
        <v>4</v>
      </c>
    </row>
    <row r="7" spans="1:4" x14ac:dyDescent="0.25">
      <c r="A7" s="1">
        <v>44292</v>
      </c>
      <c r="B7">
        <v>15543</v>
      </c>
      <c r="C7" t="s">
        <v>53</v>
      </c>
      <c r="D7">
        <v>4</v>
      </c>
    </row>
    <row r="8" spans="1:4" x14ac:dyDescent="0.25">
      <c r="A8" s="1">
        <v>44293</v>
      </c>
      <c r="B8">
        <v>14058</v>
      </c>
      <c r="C8" t="s">
        <v>54</v>
      </c>
      <c r="D8">
        <v>4</v>
      </c>
    </row>
    <row r="9" spans="1:4" x14ac:dyDescent="0.25">
      <c r="A9" s="1">
        <v>44294</v>
      </c>
      <c r="B9">
        <v>4645</v>
      </c>
      <c r="C9" t="s">
        <v>52</v>
      </c>
      <c r="D9">
        <v>4</v>
      </c>
    </row>
    <row r="10" spans="1:4" x14ac:dyDescent="0.25">
      <c r="A10" s="1">
        <v>44295</v>
      </c>
      <c r="B10">
        <v>11047</v>
      </c>
      <c r="C10" t="s">
        <v>48</v>
      </c>
      <c r="D10">
        <v>4</v>
      </c>
    </row>
    <row r="11" spans="1:4" x14ac:dyDescent="0.25">
      <c r="A11" s="1">
        <v>44296</v>
      </c>
      <c r="B11">
        <v>4764</v>
      </c>
      <c r="C11" t="s">
        <v>50</v>
      </c>
      <c r="D11">
        <v>4</v>
      </c>
    </row>
    <row r="12" spans="1:4" x14ac:dyDescent="0.25">
      <c r="A12" s="1">
        <v>44297</v>
      </c>
      <c r="B12">
        <v>9813</v>
      </c>
      <c r="C12" t="s">
        <v>51</v>
      </c>
      <c r="D12">
        <v>4</v>
      </c>
    </row>
    <row r="13" spans="1:4" x14ac:dyDescent="0.25">
      <c r="A13" s="1">
        <v>44298</v>
      </c>
      <c r="B13">
        <v>9884</v>
      </c>
      <c r="C13" t="s">
        <v>49</v>
      </c>
      <c r="D13">
        <v>4</v>
      </c>
    </row>
    <row r="14" spans="1:4" x14ac:dyDescent="0.25">
      <c r="A14" s="1">
        <v>44299</v>
      </c>
      <c r="B14">
        <v>8937</v>
      </c>
      <c r="C14" t="s">
        <v>53</v>
      </c>
      <c r="D14">
        <v>4</v>
      </c>
    </row>
    <row r="15" spans="1:4" x14ac:dyDescent="0.25">
      <c r="A15" s="1">
        <v>44300</v>
      </c>
      <c r="B15">
        <v>7373</v>
      </c>
      <c r="C15" t="s">
        <v>54</v>
      </c>
      <c r="D15">
        <v>4</v>
      </c>
    </row>
    <row r="16" spans="1:4" x14ac:dyDescent="0.25">
      <c r="A16" s="1">
        <v>44301</v>
      </c>
      <c r="B16">
        <v>7613</v>
      </c>
      <c r="C16" t="s">
        <v>52</v>
      </c>
      <c r="D16">
        <v>4</v>
      </c>
    </row>
    <row r="17" spans="1:4" x14ac:dyDescent="0.25">
      <c r="A17" s="1">
        <v>44302</v>
      </c>
      <c r="B17">
        <v>9728</v>
      </c>
      <c r="C17" t="s">
        <v>48</v>
      </c>
      <c r="D17">
        <v>4</v>
      </c>
    </row>
    <row r="18" spans="1:4" x14ac:dyDescent="0.25">
      <c r="A18" s="1">
        <v>44303</v>
      </c>
      <c r="B18">
        <v>12548</v>
      </c>
      <c r="C18" t="s">
        <v>50</v>
      </c>
      <c r="D18">
        <v>4</v>
      </c>
    </row>
    <row r="19" spans="1:4" x14ac:dyDescent="0.25">
      <c r="A19" s="1">
        <v>44304</v>
      </c>
      <c r="B19">
        <v>11891</v>
      </c>
      <c r="C19" t="s">
        <v>51</v>
      </c>
      <c r="D19">
        <v>4</v>
      </c>
    </row>
    <row r="20" spans="1:4" x14ac:dyDescent="0.25">
      <c r="A20" s="1">
        <v>44305</v>
      </c>
      <c r="B20">
        <v>5883</v>
      </c>
      <c r="C20" t="s">
        <v>49</v>
      </c>
      <c r="D20">
        <v>4</v>
      </c>
    </row>
    <row r="21" spans="1:4" x14ac:dyDescent="0.25">
      <c r="A21" s="1">
        <v>44306</v>
      </c>
      <c r="B21">
        <v>5561</v>
      </c>
      <c r="C21" t="s">
        <v>53</v>
      </c>
      <c r="D21">
        <v>4</v>
      </c>
    </row>
    <row r="22" spans="1:4" x14ac:dyDescent="0.25">
      <c r="A22" s="1">
        <v>44307</v>
      </c>
      <c r="B22">
        <v>5671</v>
      </c>
      <c r="C22" t="s">
        <v>54</v>
      </c>
      <c r="D22">
        <v>4</v>
      </c>
    </row>
    <row r="23" spans="1:4" x14ac:dyDescent="0.25">
      <c r="A23" s="1">
        <v>44308</v>
      </c>
      <c r="B23">
        <v>9492</v>
      </c>
      <c r="C23" t="s">
        <v>52</v>
      </c>
      <c r="D23">
        <v>4</v>
      </c>
    </row>
    <row r="24" spans="1:4" x14ac:dyDescent="0.25">
      <c r="A24" s="1">
        <v>44309</v>
      </c>
      <c r="B24">
        <v>11813</v>
      </c>
      <c r="C24" t="s">
        <v>48</v>
      </c>
      <c r="D24">
        <v>4</v>
      </c>
    </row>
    <row r="25" spans="1:4" x14ac:dyDescent="0.25">
      <c r="A25" s="1">
        <v>44310</v>
      </c>
      <c r="B25">
        <v>13328</v>
      </c>
      <c r="C25" t="s">
        <v>50</v>
      </c>
      <c r="D25">
        <v>4</v>
      </c>
    </row>
    <row r="26" spans="1:4" x14ac:dyDescent="0.25">
      <c r="A26" s="1">
        <v>44311</v>
      </c>
      <c r="B26">
        <v>7717</v>
      </c>
      <c r="C26" t="s">
        <v>51</v>
      </c>
      <c r="D26">
        <v>4</v>
      </c>
    </row>
    <row r="27" spans="1:4" x14ac:dyDescent="0.25">
      <c r="A27" s="1">
        <v>44312</v>
      </c>
      <c r="B27">
        <v>12754</v>
      </c>
      <c r="C27" t="s">
        <v>49</v>
      </c>
      <c r="D27">
        <v>4</v>
      </c>
    </row>
    <row r="28" spans="1:4" x14ac:dyDescent="0.25">
      <c r="A28" s="1">
        <v>44313</v>
      </c>
      <c r="B28">
        <v>16214</v>
      </c>
      <c r="C28" t="s">
        <v>53</v>
      </c>
      <c r="D28">
        <v>4</v>
      </c>
    </row>
    <row r="29" spans="1:4" x14ac:dyDescent="0.25">
      <c r="A29" s="1">
        <v>44314</v>
      </c>
      <c r="B29">
        <v>5780</v>
      </c>
      <c r="C29" t="s">
        <v>54</v>
      </c>
      <c r="D29">
        <v>4</v>
      </c>
    </row>
    <row r="30" spans="1:4" x14ac:dyDescent="0.25">
      <c r="A30" s="1">
        <v>44315</v>
      </c>
      <c r="B30">
        <v>8443</v>
      </c>
      <c r="C30" t="s">
        <v>52</v>
      </c>
      <c r="D30">
        <v>4</v>
      </c>
    </row>
    <row r="31" spans="1:4" x14ac:dyDescent="0.25">
      <c r="A31" s="1">
        <v>44316</v>
      </c>
      <c r="B31">
        <v>10577</v>
      </c>
      <c r="C31" t="s">
        <v>48</v>
      </c>
      <c r="D31">
        <v>4</v>
      </c>
    </row>
    <row r="32" spans="1:4" x14ac:dyDescent="0.25">
      <c r="A32" s="1">
        <v>44317</v>
      </c>
      <c r="B32">
        <v>21690</v>
      </c>
      <c r="C32" t="s">
        <v>50</v>
      </c>
      <c r="D32">
        <v>5</v>
      </c>
    </row>
    <row r="33" spans="1:4" x14ac:dyDescent="0.25">
      <c r="A33" s="1">
        <v>44318</v>
      </c>
      <c r="B33">
        <v>22206</v>
      </c>
      <c r="C33" t="s">
        <v>51</v>
      </c>
      <c r="D33">
        <v>5</v>
      </c>
    </row>
    <row r="34" spans="1:4" x14ac:dyDescent="0.25">
      <c r="A34" s="1">
        <v>44319</v>
      </c>
      <c r="B34">
        <v>8531</v>
      </c>
      <c r="C34" t="s">
        <v>49</v>
      </c>
      <c r="D34">
        <v>5</v>
      </c>
    </row>
    <row r="35" spans="1:4" x14ac:dyDescent="0.25">
      <c r="A35" s="1">
        <v>44320</v>
      </c>
      <c r="B35">
        <v>7884</v>
      </c>
      <c r="C35" t="s">
        <v>53</v>
      </c>
      <c r="D35">
        <v>5</v>
      </c>
    </row>
    <row r="36" spans="1:4" x14ac:dyDescent="0.25">
      <c r="A36" s="1">
        <v>44321</v>
      </c>
      <c r="B36">
        <v>10693</v>
      </c>
      <c r="C36" t="s">
        <v>54</v>
      </c>
      <c r="D36">
        <v>5</v>
      </c>
    </row>
    <row r="37" spans="1:4" x14ac:dyDescent="0.25">
      <c r="A37" s="1">
        <v>44322</v>
      </c>
      <c r="B37">
        <v>8006</v>
      </c>
      <c r="C37" t="s">
        <v>52</v>
      </c>
      <c r="D37">
        <v>5</v>
      </c>
    </row>
    <row r="38" spans="1:4" x14ac:dyDescent="0.25">
      <c r="A38" s="1">
        <v>44323</v>
      </c>
      <c r="B38">
        <v>11233</v>
      </c>
      <c r="C38" t="s">
        <v>48</v>
      </c>
      <c r="D38">
        <v>5</v>
      </c>
    </row>
    <row r="39" spans="1:4" x14ac:dyDescent="0.25">
      <c r="A39" s="1">
        <v>44324</v>
      </c>
      <c r="B39">
        <v>12929</v>
      </c>
      <c r="C39" t="s">
        <v>50</v>
      </c>
      <c r="D39">
        <v>5</v>
      </c>
    </row>
    <row r="40" spans="1:4" x14ac:dyDescent="0.25">
      <c r="A40" s="1">
        <v>44325</v>
      </c>
      <c r="B40">
        <v>6071</v>
      </c>
      <c r="C40" t="s">
        <v>51</v>
      </c>
      <c r="D40">
        <v>5</v>
      </c>
    </row>
    <row r="41" spans="1:4" x14ac:dyDescent="0.25">
      <c r="A41" s="1">
        <v>44326</v>
      </c>
      <c r="B41">
        <v>7876</v>
      </c>
      <c r="C41" t="s">
        <v>49</v>
      </c>
      <c r="D41">
        <v>5</v>
      </c>
    </row>
    <row r="42" spans="1:4" x14ac:dyDescent="0.25">
      <c r="A42" s="1">
        <v>44327</v>
      </c>
      <c r="B42">
        <v>9380</v>
      </c>
      <c r="C42" t="s">
        <v>53</v>
      </c>
      <c r="D42">
        <v>5</v>
      </c>
    </row>
    <row r="43" spans="1:4" x14ac:dyDescent="0.25">
      <c r="A43" s="1">
        <v>44328</v>
      </c>
      <c r="B43">
        <v>11428</v>
      </c>
      <c r="C43" t="s">
        <v>54</v>
      </c>
      <c r="D43">
        <v>5</v>
      </c>
    </row>
    <row r="44" spans="1:4" x14ac:dyDescent="0.25">
      <c r="A44" s="1">
        <v>44329</v>
      </c>
      <c r="B44">
        <v>14119</v>
      </c>
      <c r="C44" t="s">
        <v>52</v>
      </c>
      <c r="D44">
        <v>5</v>
      </c>
    </row>
    <row r="45" spans="1:4" x14ac:dyDescent="0.25">
      <c r="A45" s="1">
        <v>44330</v>
      </c>
      <c r="B45">
        <v>17265</v>
      </c>
      <c r="C45" t="s">
        <v>48</v>
      </c>
      <c r="D45">
        <v>5</v>
      </c>
    </row>
    <row r="46" spans="1:4" x14ac:dyDescent="0.25">
      <c r="A46" s="1">
        <v>44331</v>
      </c>
      <c r="B46">
        <v>13049</v>
      </c>
      <c r="C46" t="s">
        <v>50</v>
      </c>
      <c r="D46">
        <v>5</v>
      </c>
    </row>
    <row r="47" spans="1:4" x14ac:dyDescent="0.25">
      <c r="A47" s="1">
        <v>44332</v>
      </c>
      <c r="B47">
        <v>20364</v>
      </c>
      <c r="C47" t="s">
        <v>51</v>
      </c>
      <c r="D47">
        <v>5</v>
      </c>
    </row>
    <row r="48" spans="1:4" x14ac:dyDescent="0.25">
      <c r="A48" s="1">
        <v>44333</v>
      </c>
      <c r="B48">
        <v>12795</v>
      </c>
      <c r="C48" t="s">
        <v>49</v>
      </c>
      <c r="D48">
        <v>5</v>
      </c>
    </row>
    <row r="49" spans="1:4" x14ac:dyDescent="0.25">
      <c r="A49" s="1">
        <v>44334</v>
      </c>
      <c r="B49">
        <v>10549</v>
      </c>
      <c r="C49" t="s">
        <v>53</v>
      </c>
      <c r="D49">
        <v>5</v>
      </c>
    </row>
    <row r="50" spans="1:4" x14ac:dyDescent="0.25">
      <c r="A50" s="1">
        <v>44335</v>
      </c>
      <c r="B50">
        <v>13406</v>
      </c>
      <c r="C50" t="s">
        <v>54</v>
      </c>
      <c r="D50">
        <v>5</v>
      </c>
    </row>
    <row r="51" spans="1:4" x14ac:dyDescent="0.25">
      <c r="A51" s="1">
        <v>44336</v>
      </c>
      <c r="B51">
        <v>17304</v>
      </c>
      <c r="C51" t="s">
        <v>52</v>
      </c>
      <c r="D51">
        <v>5</v>
      </c>
    </row>
    <row r="52" spans="1:4" x14ac:dyDescent="0.25">
      <c r="A52" s="1">
        <v>44337</v>
      </c>
      <c r="B52">
        <v>20889</v>
      </c>
      <c r="C52" t="s">
        <v>48</v>
      </c>
      <c r="D52">
        <v>5</v>
      </c>
    </row>
    <row r="53" spans="1:4" x14ac:dyDescent="0.25">
      <c r="A53" s="1">
        <v>44338</v>
      </c>
      <c r="B53">
        <v>30104</v>
      </c>
      <c r="C53" t="s">
        <v>50</v>
      </c>
      <c r="D53">
        <v>5</v>
      </c>
    </row>
    <row r="54" spans="1:4" x14ac:dyDescent="0.25">
      <c r="A54" s="1">
        <v>44339</v>
      </c>
      <c r="B54">
        <v>18677</v>
      </c>
      <c r="C54" t="s">
        <v>51</v>
      </c>
      <c r="D54">
        <v>5</v>
      </c>
    </row>
    <row r="55" spans="1:4" x14ac:dyDescent="0.25">
      <c r="A55" s="1">
        <v>44340</v>
      </c>
      <c r="B55">
        <v>16910</v>
      </c>
      <c r="C55" t="s">
        <v>49</v>
      </c>
      <c r="D55">
        <v>5</v>
      </c>
    </row>
    <row r="56" spans="1:4" x14ac:dyDescent="0.25">
      <c r="A56" s="1">
        <v>44341</v>
      </c>
      <c r="B56">
        <v>15846</v>
      </c>
      <c r="C56" t="s">
        <v>53</v>
      </c>
      <c r="D56">
        <v>5</v>
      </c>
    </row>
    <row r="57" spans="1:4" x14ac:dyDescent="0.25">
      <c r="A57" s="1">
        <v>44342</v>
      </c>
      <c r="B57">
        <v>17105</v>
      </c>
      <c r="C57" t="s">
        <v>54</v>
      </c>
      <c r="D57">
        <v>5</v>
      </c>
    </row>
    <row r="58" spans="1:4" x14ac:dyDescent="0.25">
      <c r="A58" s="1">
        <v>44343</v>
      </c>
      <c r="B58">
        <v>9676</v>
      </c>
      <c r="C58" t="s">
        <v>52</v>
      </c>
      <c r="D58">
        <v>5</v>
      </c>
    </row>
    <row r="59" spans="1:4" x14ac:dyDescent="0.25">
      <c r="A59" s="1">
        <v>44344</v>
      </c>
      <c r="B59">
        <v>5682</v>
      </c>
      <c r="C59" t="s">
        <v>48</v>
      </c>
      <c r="D59">
        <v>5</v>
      </c>
    </row>
    <row r="60" spans="1:4" x14ac:dyDescent="0.25">
      <c r="A60" s="1">
        <v>44345</v>
      </c>
      <c r="B60">
        <v>18111</v>
      </c>
      <c r="C60" t="s">
        <v>50</v>
      </c>
      <c r="D60">
        <v>5</v>
      </c>
    </row>
    <row r="61" spans="1:4" x14ac:dyDescent="0.25">
      <c r="A61" s="1">
        <v>44346</v>
      </c>
      <c r="B61">
        <v>22761</v>
      </c>
      <c r="C61" t="s">
        <v>51</v>
      </c>
      <c r="D61">
        <v>5</v>
      </c>
    </row>
    <row r="62" spans="1:4" x14ac:dyDescent="0.25">
      <c r="A62" s="1">
        <v>44347</v>
      </c>
      <c r="B62">
        <v>18455</v>
      </c>
      <c r="C62" t="s">
        <v>49</v>
      </c>
      <c r="D62">
        <v>5</v>
      </c>
    </row>
    <row r="63" spans="1:4" x14ac:dyDescent="0.25">
      <c r="A63" s="1">
        <v>44348</v>
      </c>
      <c r="B63">
        <v>16354</v>
      </c>
      <c r="C63" t="s">
        <v>53</v>
      </c>
      <c r="D63">
        <v>6</v>
      </c>
    </row>
    <row r="64" spans="1:4" x14ac:dyDescent="0.25">
      <c r="A64" s="1">
        <v>44349</v>
      </c>
      <c r="B64">
        <v>17081</v>
      </c>
      <c r="C64" t="s">
        <v>54</v>
      </c>
      <c r="D64">
        <v>6</v>
      </c>
    </row>
    <row r="65" spans="1:4" x14ac:dyDescent="0.25">
      <c r="A65" s="1">
        <v>44350</v>
      </c>
      <c r="B65">
        <v>19631</v>
      </c>
      <c r="C65" t="s">
        <v>52</v>
      </c>
      <c r="D65">
        <v>6</v>
      </c>
    </row>
    <row r="66" spans="1:4" x14ac:dyDescent="0.25">
      <c r="A66" s="1">
        <v>44351</v>
      </c>
      <c r="B66">
        <v>21521</v>
      </c>
      <c r="C66" t="s">
        <v>48</v>
      </c>
      <c r="D66">
        <v>6</v>
      </c>
    </row>
    <row r="67" spans="1:4" x14ac:dyDescent="0.25">
      <c r="A67" s="1">
        <v>44352</v>
      </c>
      <c r="B67">
        <v>30320</v>
      </c>
      <c r="C67" t="s">
        <v>50</v>
      </c>
      <c r="D67">
        <v>6</v>
      </c>
    </row>
    <row r="68" spans="1:4" x14ac:dyDescent="0.25">
      <c r="A68" s="1">
        <v>44353</v>
      </c>
      <c r="B68">
        <v>24527</v>
      </c>
      <c r="C68" t="s">
        <v>51</v>
      </c>
      <c r="D68">
        <v>6</v>
      </c>
    </row>
    <row r="69" spans="1:4" x14ac:dyDescent="0.25">
      <c r="A69" s="1">
        <v>44354</v>
      </c>
      <c r="B69">
        <v>14793</v>
      </c>
      <c r="C69" t="s">
        <v>49</v>
      </c>
      <c r="D69">
        <v>6</v>
      </c>
    </row>
    <row r="70" spans="1:4" x14ac:dyDescent="0.25">
      <c r="A70" s="1">
        <v>44355</v>
      </c>
      <c r="B70">
        <v>18815</v>
      </c>
      <c r="C70" t="s">
        <v>53</v>
      </c>
      <c r="D70">
        <v>6</v>
      </c>
    </row>
    <row r="71" spans="1:4" x14ac:dyDescent="0.25">
      <c r="A71" s="1">
        <v>44356</v>
      </c>
      <c r="B71">
        <v>20676</v>
      </c>
      <c r="C71" t="s">
        <v>54</v>
      </c>
      <c r="D71">
        <v>6</v>
      </c>
    </row>
    <row r="72" spans="1:4" x14ac:dyDescent="0.25">
      <c r="A72" s="1">
        <v>44357</v>
      </c>
      <c r="B72">
        <v>21281</v>
      </c>
      <c r="C72" t="s">
        <v>52</v>
      </c>
      <c r="D72">
        <v>6</v>
      </c>
    </row>
    <row r="73" spans="1:4" x14ac:dyDescent="0.25">
      <c r="A73" s="1">
        <v>44358</v>
      </c>
      <c r="B73">
        <v>24869</v>
      </c>
      <c r="C73" t="s">
        <v>48</v>
      </c>
      <c r="D73">
        <v>6</v>
      </c>
    </row>
    <row r="74" spans="1:4" x14ac:dyDescent="0.25">
      <c r="A74" s="1">
        <v>44359</v>
      </c>
      <c r="B74">
        <v>28841</v>
      </c>
      <c r="C74" t="s">
        <v>50</v>
      </c>
      <c r="D74">
        <v>6</v>
      </c>
    </row>
    <row r="75" spans="1:4" x14ac:dyDescent="0.25">
      <c r="A75" s="1">
        <v>44360</v>
      </c>
      <c r="B75">
        <v>29919</v>
      </c>
      <c r="C75" t="s">
        <v>51</v>
      </c>
      <c r="D75">
        <v>6</v>
      </c>
    </row>
    <row r="76" spans="1:4" x14ac:dyDescent="0.25">
      <c r="A76" s="1">
        <v>44361</v>
      </c>
      <c r="B76">
        <v>19366</v>
      </c>
      <c r="C76" t="s">
        <v>49</v>
      </c>
      <c r="D76">
        <v>6</v>
      </c>
    </row>
    <row r="77" spans="1:4" x14ac:dyDescent="0.25">
      <c r="A77" s="1">
        <v>44362</v>
      </c>
      <c r="B77">
        <v>20333</v>
      </c>
      <c r="C77" t="s">
        <v>53</v>
      </c>
      <c r="D77">
        <v>6</v>
      </c>
    </row>
    <row r="78" spans="1:4" x14ac:dyDescent="0.25">
      <c r="A78" s="1">
        <v>44363</v>
      </c>
      <c r="B78">
        <v>21539</v>
      </c>
      <c r="C78" t="s">
        <v>54</v>
      </c>
      <c r="D78">
        <v>6</v>
      </c>
    </row>
    <row r="79" spans="1:4" x14ac:dyDescent="0.25">
      <c r="A79" s="1">
        <v>44364</v>
      </c>
      <c r="B79">
        <v>21771</v>
      </c>
      <c r="C79" t="s">
        <v>52</v>
      </c>
      <c r="D79">
        <v>6</v>
      </c>
    </row>
    <row r="80" spans="1:4" x14ac:dyDescent="0.25">
      <c r="A80" s="1">
        <v>44365</v>
      </c>
      <c r="B80">
        <v>23542</v>
      </c>
      <c r="C80" t="s">
        <v>48</v>
      </c>
      <c r="D80">
        <v>6</v>
      </c>
    </row>
    <row r="81" spans="1:4" x14ac:dyDescent="0.25">
      <c r="A81" s="1">
        <v>44366</v>
      </c>
      <c r="B81">
        <v>31261</v>
      </c>
      <c r="C81" t="s">
        <v>50</v>
      </c>
      <c r="D81">
        <v>6</v>
      </c>
    </row>
    <row r="82" spans="1:4" x14ac:dyDescent="0.25">
      <c r="A82" s="1">
        <v>44367</v>
      </c>
      <c r="B82">
        <v>18388</v>
      </c>
      <c r="C82" t="s">
        <v>51</v>
      </c>
      <c r="D82">
        <v>6</v>
      </c>
    </row>
    <row r="83" spans="1:4" x14ac:dyDescent="0.25">
      <c r="A83" s="1">
        <v>44368</v>
      </c>
      <c r="B83">
        <v>17988</v>
      </c>
      <c r="C83" t="s">
        <v>49</v>
      </c>
      <c r="D83">
        <v>6</v>
      </c>
    </row>
    <row r="84" spans="1:4" x14ac:dyDescent="0.25">
      <c r="A84" s="1">
        <v>44369</v>
      </c>
      <c r="B84">
        <v>20929</v>
      </c>
      <c r="C84" t="s">
        <v>53</v>
      </c>
      <c r="D84">
        <v>6</v>
      </c>
    </row>
    <row r="85" spans="1:4" x14ac:dyDescent="0.25">
      <c r="A85" s="1">
        <v>44370</v>
      </c>
      <c r="B85">
        <v>19720</v>
      </c>
      <c r="C85" t="s">
        <v>54</v>
      </c>
      <c r="D85">
        <v>6</v>
      </c>
    </row>
    <row r="86" spans="1:4" x14ac:dyDescent="0.25">
      <c r="A86" s="1">
        <v>44371</v>
      </c>
      <c r="B86">
        <v>12373</v>
      </c>
      <c r="C86" t="s">
        <v>52</v>
      </c>
      <c r="D86">
        <v>6</v>
      </c>
    </row>
    <row r="87" spans="1:4" x14ac:dyDescent="0.25">
      <c r="A87" s="1">
        <v>44372</v>
      </c>
      <c r="B87">
        <v>13415</v>
      </c>
      <c r="C87" t="s">
        <v>48</v>
      </c>
      <c r="D87">
        <v>6</v>
      </c>
    </row>
    <row r="88" spans="1:4" x14ac:dyDescent="0.25">
      <c r="A88" s="1">
        <v>44373</v>
      </c>
      <c r="B88">
        <v>11694</v>
      </c>
      <c r="C88" t="s">
        <v>50</v>
      </c>
      <c r="D88">
        <v>6</v>
      </c>
    </row>
    <row r="89" spans="1:4" x14ac:dyDescent="0.25">
      <c r="A89" s="1">
        <v>44374</v>
      </c>
      <c r="B89">
        <v>24158</v>
      </c>
      <c r="C89" t="s">
        <v>51</v>
      </c>
      <c r="D89">
        <v>6</v>
      </c>
    </row>
    <row r="90" spans="1:4" x14ac:dyDescent="0.25">
      <c r="A90" s="1">
        <v>44375</v>
      </c>
      <c r="B90">
        <v>13383</v>
      </c>
      <c r="C90" t="s">
        <v>49</v>
      </c>
      <c r="D90">
        <v>6</v>
      </c>
    </row>
    <row r="91" spans="1:4" x14ac:dyDescent="0.25">
      <c r="A91" s="1">
        <v>44376</v>
      </c>
      <c r="B91">
        <v>14631</v>
      </c>
      <c r="C91" t="s">
        <v>53</v>
      </c>
      <c r="D91">
        <v>6</v>
      </c>
    </row>
    <row r="92" spans="1:4" x14ac:dyDescent="0.25">
      <c r="A92" s="1">
        <v>44377</v>
      </c>
      <c r="B92">
        <v>15659</v>
      </c>
      <c r="C92" t="s">
        <v>54</v>
      </c>
      <c r="D92">
        <v>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8F0D-60AF-4102-828C-AAC17574C194}">
  <dimension ref="A3:E12"/>
  <sheetViews>
    <sheetView workbookViewId="0">
      <selection activeCell="B5" sqref="B5:E12"/>
    </sheetView>
  </sheetViews>
  <sheetFormatPr defaultRowHeight="15" x14ac:dyDescent="0.25"/>
  <cols>
    <col min="1" max="1" width="14" bestFit="1" customWidth="1"/>
    <col min="2" max="2" width="16.28515625" bestFit="1" customWidth="1"/>
    <col min="3" max="4" width="5.28515625" bestFit="1" customWidth="1"/>
    <col min="5" max="5" width="11.28515625" bestFit="1" customWidth="1"/>
  </cols>
  <sheetData>
    <row r="3" spans="1:5" x14ac:dyDescent="0.25">
      <c r="A3" s="2" t="s">
        <v>56</v>
      </c>
      <c r="B3" s="2" t="s">
        <v>60</v>
      </c>
    </row>
    <row r="4" spans="1:5" x14ac:dyDescent="0.25">
      <c r="A4" s="2" t="s">
        <v>4</v>
      </c>
      <c r="B4" t="s">
        <v>5</v>
      </c>
      <c r="C4" t="s">
        <v>6</v>
      </c>
      <c r="D4" t="s">
        <v>7</v>
      </c>
      <c r="E4" t="s">
        <v>55</v>
      </c>
    </row>
    <row r="5" spans="1:5" x14ac:dyDescent="0.25">
      <c r="A5" s="3" t="s">
        <v>52</v>
      </c>
      <c r="B5" s="4">
        <v>35005</v>
      </c>
      <c r="C5" s="4">
        <v>49105</v>
      </c>
      <c r="D5" s="4">
        <v>75056</v>
      </c>
      <c r="E5" s="4">
        <v>159166</v>
      </c>
    </row>
    <row r="6" spans="1:5" x14ac:dyDescent="0.25">
      <c r="A6" s="3" t="s">
        <v>49</v>
      </c>
      <c r="B6" s="4">
        <v>38769</v>
      </c>
      <c r="C6" s="4">
        <v>64567</v>
      </c>
      <c r="D6" s="4">
        <v>65530</v>
      </c>
      <c r="E6" s="4">
        <v>168866</v>
      </c>
    </row>
    <row r="7" spans="1:5" x14ac:dyDescent="0.25">
      <c r="A7" s="3" t="s">
        <v>54</v>
      </c>
      <c r="B7" s="4">
        <v>32882</v>
      </c>
      <c r="C7" s="4">
        <v>52632</v>
      </c>
      <c r="D7" s="4">
        <v>94675</v>
      </c>
      <c r="E7" s="4">
        <v>180189</v>
      </c>
    </row>
    <row r="8" spans="1:5" x14ac:dyDescent="0.25">
      <c r="A8" s="3" t="s">
        <v>53</v>
      </c>
      <c r="B8" s="4">
        <v>46255</v>
      </c>
      <c r="C8" s="4">
        <v>43659</v>
      </c>
      <c r="D8" s="4">
        <v>91062</v>
      </c>
      <c r="E8" s="4">
        <v>180976</v>
      </c>
    </row>
    <row r="9" spans="1:5" x14ac:dyDescent="0.25">
      <c r="A9" s="3" t="s">
        <v>48</v>
      </c>
      <c r="B9" s="4">
        <v>51382</v>
      </c>
      <c r="C9" s="4">
        <v>55069</v>
      </c>
      <c r="D9" s="4">
        <v>83347</v>
      </c>
      <c r="E9" s="4">
        <v>189798</v>
      </c>
    </row>
    <row r="10" spans="1:5" x14ac:dyDescent="0.25">
      <c r="A10" s="3" t="s">
        <v>51</v>
      </c>
      <c r="B10" s="4">
        <v>45340</v>
      </c>
      <c r="C10" s="4">
        <v>90079</v>
      </c>
      <c r="D10" s="4">
        <v>96992</v>
      </c>
      <c r="E10" s="4">
        <v>232411</v>
      </c>
    </row>
    <row r="11" spans="1:5" x14ac:dyDescent="0.25">
      <c r="A11" s="3" t="s">
        <v>50</v>
      </c>
      <c r="B11" s="4">
        <v>48574</v>
      </c>
      <c r="C11" s="4">
        <v>95883</v>
      </c>
      <c r="D11" s="4">
        <v>102116</v>
      </c>
      <c r="E11" s="4">
        <v>246573</v>
      </c>
    </row>
    <row r="12" spans="1:5" x14ac:dyDescent="0.25">
      <c r="A12" s="3" t="s">
        <v>55</v>
      </c>
      <c r="B12" s="4">
        <v>298207</v>
      </c>
      <c r="C12" s="4">
        <v>450994</v>
      </c>
      <c r="D12" s="4">
        <v>608778</v>
      </c>
      <c r="E12" s="4">
        <v>1357979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C30B-3549-43DD-AB4C-F7738417B466}">
  <dimension ref="A1:J92"/>
  <sheetViews>
    <sheetView workbookViewId="0">
      <selection activeCell="N7" sqref="N7"/>
    </sheetView>
  </sheetViews>
  <sheetFormatPr defaultRowHeight="15" x14ac:dyDescent="0.25"/>
  <cols>
    <col min="1" max="1" width="10.85546875" bestFit="1" customWidth="1"/>
    <col min="2" max="2" width="9.5703125" bestFit="1" customWidth="1"/>
    <col min="3" max="3" width="13.7109375" bestFit="1" customWidth="1"/>
    <col min="4" max="4" width="14.5703125" bestFit="1" customWidth="1"/>
    <col min="5" max="5" width="14.7109375" bestFit="1" customWidth="1"/>
    <col min="8" max="8" width="12.42578125" bestFit="1" customWidth="1"/>
    <col min="10" max="10" width="11" bestFit="1" customWidth="1"/>
  </cols>
  <sheetData>
    <row r="1" spans="1:10" x14ac:dyDescent="0.25">
      <c r="A1" t="s">
        <v>0</v>
      </c>
      <c r="B1" t="s">
        <v>1</v>
      </c>
      <c r="C1" t="s">
        <v>44</v>
      </c>
      <c r="D1" t="s">
        <v>45</v>
      </c>
      <c r="E1" t="s">
        <v>46</v>
      </c>
      <c r="F1" t="s">
        <v>43</v>
      </c>
      <c r="H1" t="s">
        <v>61</v>
      </c>
      <c r="I1" t="s">
        <v>65</v>
      </c>
      <c r="J1" t="s">
        <v>66</v>
      </c>
    </row>
    <row r="2" spans="1:10" x14ac:dyDescent="0.25">
      <c r="A2" s="1">
        <v>44287</v>
      </c>
      <c r="B2">
        <v>4812</v>
      </c>
      <c r="C2">
        <v>3290</v>
      </c>
      <c r="D2">
        <v>195</v>
      </c>
      <c r="E2">
        <v>1327</v>
      </c>
      <c r="F2">
        <v>4</v>
      </c>
      <c r="H2" t="s">
        <v>62</v>
      </c>
      <c r="I2">
        <f>SUM(monthly_data__1[classic_bike])</f>
        <v>956245</v>
      </c>
      <c r="J2" s="7">
        <f>$I2/SUM($I$2:$I$4)</f>
        <v>0.70416773749814987</v>
      </c>
    </row>
    <row r="3" spans="1:10" x14ac:dyDescent="0.25">
      <c r="A3" s="1">
        <v>44288</v>
      </c>
      <c r="B3">
        <v>8217</v>
      </c>
      <c r="C3">
        <v>5647</v>
      </c>
      <c r="D3">
        <v>683</v>
      </c>
      <c r="E3">
        <v>1887</v>
      </c>
      <c r="F3">
        <v>4</v>
      </c>
      <c r="H3" t="s">
        <v>63</v>
      </c>
      <c r="I3">
        <f>SUM(monthly_data__1[electric_bike])</f>
        <v>281951</v>
      </c>
      <c r="J3" s="7">
        <f t="shared" ref="J3:J4" si="0">$I3/SUM($I$2:$I$4)</f>
        <v>0.20762544928898016</v>
      </c>
    </row>
    <row r="4" spans="1:10" x14ac:dyDescent="0.25">
      <c r="A4" s="1">
        <v>44289</v>
      </c>
      <c r="B4">
        <v>17934</v>
      </c>
      <c r="C4">
        <v>12358</v>
      </c>
      <c r="D4">
        <v>2754</v>
      </c>
      <c r="E4">
        <v>2822</v>
      </c>
      <c r="F4">
        <v>4</v>
      </c>
      <c r="H4" t="s">
        <v>64</v>
      </c>
      <c r="I4">
        <f>SUM(monthly_data__1[docked_bike])</f>
        <v>119783</v>
      </c>
      <c r="J4" s="7">
        <f t="shared" si="0"/>
        <v>8.8206813212870008E-2</v>
      </c>
    </row>
    <row r="5" spans="1:10" x14ac:dyDescent="0.25">
      <c r="A5" s="1">
        <v>44290</v>
      </c>
      <c r="B5">
        <v>15919</v>
      </c>
      <c r="C5">
        <v>11166</v>
      </c>
      <c r="D5">
        <v>2612</v>
      </c>
      <c r="E5">
        <v>2141</v>
      </c>
      <c r="F5">
        <v>4</v>
      </c>
    </row>
    <row r="6" spans="1:10" x14ac:dyDescent="0.25">
      <c r="A6" s="1">
        <v>44291</v>
      </c>
      <c r="B6">
        <v>10248</v>
      </c>
      <c r="C6">
        <v>7637</v>
      </c>
      <c r="D6">
        <v>954</v>
      </c>
      <c r="E6">
        <v>1657</v>
      </c>
      <c r="F6">
        <v>4</v>
      </c>
    </row>
    <row r="7" spans="1:10" x14ac:dyDescent="0.25">
      <c r="A7" s="1">
        <v>44292</v>
      </c>
      <c r="B7">
        <v>15543</v>
      </c>
      <c r="C7">
        <v>11337</v>
      </c>
      <c r="D7">
        <v>1668</v>
      </c>
      <c r="E7">
        <v>2538</v>
      </c>
      <c r="F7">
        <v>4</v>
      </c>
    </row>
    <row r="8" spans="1:10" x14ac:dyDescent="0.25">
      <c r="A8" s="1">
        <v>44293</v>
      </c>
      <c r="B8">
        <v>14058</v>
      </c>
      <c r="C8">
        <v>10420</v>
      </c>
      <c r="D8">
        <v>1293</v>
      </c>
      <c r="E8">
        <v>2345</v>
      </c>
      <c r="F8">
        <v>4</v>
      </c>
    </row>
    <row r="9" spans="1:10" x14ac:dyDescent="0.25">
      <c r="A9" s="1">
        <v>44294</v>
      </c>
      <c r="B9">
        <v>4645</v>
      </c>
      <c r="C9">
        <v>3398</v>
      </c>
      <c r="D9">
        <v>215</v>
      </c>
      <c r="E9">
        <v>1032</v>
      </c>
      <c r="F9">
        <v>4</v>
      </c>
    </row>
    <row r="10" spans="1:10" x14ac:dyDescent="0.25">
      <c r="A10" s="1">
        <v>44295</v>
      </c>
      <c r="B10">
        <v>11047</v>
      </c>
      <c r="C10">
        <v>8007</v>
      </c>
      <c r="D10">
        <v>1007</v>
      </c>
      <c r="E10">
        <v>2033</v>
      </c>
      <c r="F10">
        <v>4</v>
      </c>
    </row>
    <row r="11" spans="1:10" x14ac:dyDescent="0.25">
      <c r="A11" s="1">
        <v>44296</v>
      </c>
      <c r="B11">
        <v>4764</v>
      </c>
      <c r="C11">
        <v>3431</v>
      </c>
      <c r="D11">
        <v>360</v>
      </c>
      <c r="E11">
        <v>973</v>
      </c>
      <c r="F11">
        <v>4</v>
      </c>
    </row>
    <row r="12" spans="1:10" x14ac:dyDescent="0.25">
      <c r="A12" s="1">
        <v>44297</v>
      </c>
      <c r="B12">
        <v>9813</v>
      </c>
      <c r="C12">
        <v>7074</v>
      </c>
      <c r="D12">
        <v>958</v>
      </c>
      <c r="E12">
        <v>1781</v>
      </c>
      <c r="F12">
        <v>4</v>
      </c>
    </row>
    <row r="13" spans="1:10" x14ac:dyDescent="0.25">
      <c r="A13" s="1">
        <v>44298</v>
      </c>
      <c r="B13">
        <v>9884</v>
      </c>
      <c r="C13">
        <v>7346</v>
      </c>
      <c r="D13">
        <v>675</v>
      </c>
      <c r="E13">
        <v>1863</v>
      </c>
      <c r="F13">
        <v>4</v>
      </c>
    </row>
    <row r="14" spans="1:10" x14ac:dyDescent="0.25">
      <c r="A14" s="1">
        <v>44299</v>
      </c>
      <c r="B14">
        <v>8937</v>
      </c>
      <c r="C14">
        <v>6587</v>
      </c>
      <c r="D14">
        <v>428</v>
      </c>
      <c r="E14">
        <v>1922</v>
      </c>
      <c r="F14">
        <v>4</v>
      </c>
    </row>
    <row r="15" spans="1:10" x14ac:dyDescent="0.25">
      <c r="A15" s="1">
        <v>44300</v>
      </c>
      <c r="B15">
        <v>7373</v>
      </c>
      <c r="C15">
        <v>5232</v>
      </c>
      <c r="D15">
        <v>301</v>
      </c>
      <c r="E15">
        <v>1840</v>
      </c>
      <c r="F15">
        <v>4</v>
      </c>
    </row>
    <row r="16" spans="1:10" x14ac:dyDescent="0.25">
      <c r="A16" s="1">
        <v>44301</v>
      </c>
      <c r="B16">
        <v>7613</v>
      </c>
      <c r="C16">
        <v>5431</v>
      </c>
      <c r="D16">
        <v>304</v>
      </c>
      <c r="E16">
        <v>1878</v>
      </c>
      <c r="F16">
        <v>4</v>
      </c>
    </row>
    <row r="17" spans="1:6" x14ac:dyDescent="0.25">
      <c r="A17" s="1">
        <v>44302</v>
      </c>
      <c r="B17">
        <v>9728</v>
      </c>
      <c r="C17">
        <v>6956</v>
      </c>
      <c r="D17">
        <v>598</v>
      </c>
      <c r="E17">
        <v>2174</v>
      </c>
      <c r="F17">
        <v>4</v>
      </c>
    </row>
    <row r="18" spans="1:6" x14ac:dyDescent="0.25">
      <c r="A18" s="1">
        <v>44303</v>
      </c>
      <c r="B18">
        <v>12548</v>
      </c>
      <c r="C18">
        <v>8703</v>
      </c>
      <c r="D18">
        <v>1310</v>
      </c>
      <c r="E18">
        <v>2535</v>
      </c>
      <c r="F18">
        <v>4</v>
      </c>
    </row>
    <row r="19" spans="1:6" x14ac:dyDescent="0.25">
      <c r="A19" s="1">
        <v>44304</v>
      </c>
      <c r="B19">
        <v>11891</v>
      </c>
      <c r="C19">
        <v>8161</v>
      </c>
      <c r="D19">
        <v>1318</v>
      </c>
      <c r="E19">
        <v>2412</v>
      </c>
      <c r="F19">
        <v>4</v>
      </c>
    </row>
    <row r="20" spans="1:6" x14ac:dyDescent="0.25">
      <c r="A20" s="1">
        <v>44305</v>
      </c>
      <c r="B20">
        <v>5883</v>
      </c>
      <c r="C20">
        <v>4248</v>
      </c>
      <c r="D20">
        <v>184</v>
      </c>
      <c r="E20">
        <v>1451</v>
      </c>
      <c r="F20">
        <v>4</v>
      </c>
    </row>
    <row r="21" spans="1:6" x14ac:dyDescent="0.25">
      <c r="A21" s="1">
        <v>44306</v>
      </c>
      <c r="B21">
        <v>5561</v>
      </c>
      <c r="C21">
        <v>4063</v>
      </c>
      <c r="D21">
        <v>142</v>
      </c>
      <c r="E21">
        <v>1356</v>
      </c>
      <c r="F21">
        <v>4</v>
      </c>
    </row>
    <row r="22" spans="1:6" x14ac:dyDescent="0.25">
      <c r="A22" s="1">
        <v>44307</v>
      </c>
      <c r="B22">
        <v>5671</v>
      </c>
      <c r="C22">
        <v>4106</v>
      </c>
      <c r="D22">
        <v>149</v>
      </c>
      <c r="E22">
        <v>1416</v>
      </c>
      <c r="F22">
        <v>4</v>
      </c>
    </row>
    <row r="23" spans="1:6" x14ac:dyDescent="0.25">
      <c r="A23" s="1">
        <v>44308</v>
      </c>
      <c r="B23">
        <v>9492</v>
      </c>
      <c r="C23">
        <v>6778</v>
      </c>
      <c r="D23">
        <v>492</v>
      </c>
      <c r="E23">
        <v>2222</v>
      </c>
      <c r="F23">
        <v>4</v>
      </c>
    </row>
    <row r="24" spans="1:6" x14ac:dyDescent="0.25">
      <c r="A24" s="1">
        <v>44309</v>
      </c>
      <c r="B24">
        <v>11813</v>
      </c>
      <c r="C24">
        <v>8328</v>
      </c>
      <c r="D24">
        <v>720</v>
      </c>
      <c r="E24">
        <v>2765</v>
      </c>
      <c r="F24">
        <v>4</v>
      </c>
    </row>
    <row r="25" spans="1:6" x14ac:dyDescent="0.25">
      <c r="A25" s="1">
        <v>44310</v>
      </c>
      <c r="B25">
        <v>13328</v>
      </c>
      <c r="C25">
        <v>9520</v>
      </c>
      <c r="D25">
        <v>1244</v>
      </c>
      <c r="E25">
        <v>2564</v>
      </c>
      <c r="F25">
        <v>4</v>
      </c>
    </row>
    <row r="26" spans="1:6" x14ac:dyDescent="0.25">
      <c r="A26" s="1">
        <v>44311</v>
      </c>
      <c r="B26">
        <v>7717</v>
      </c>
      <c r="C26">
        <v>5641</v>
      </c>
      <c r="D26">
        <v>564</v>
      </c>
      <c r="E26">
        <v>1512</v>
      </c>
      <c r="F26">
        <v>4</v>
      </c>
    </row>
    <row r="27" spans="1:6" x14ac:dyDescent="0.25">
      <c r="A27" s="1">
        <v>44312</v>
      </c>
      <c r="B27">
        <v>12754</v>
      </c>
      <c r="C27">
        <v>9317</v>
      </c>
      <c r="D27">
        <v>998</v>
      </c>
      <c r="E27">
        <v>2439</v>
      </c>
      <c r="F27">
        <v>4</v>
      </c>
    </row>
    <row r="28" spans="1:6" x14ac:dyDescent="0.25">
      <c r="A28" s="1">
        <v>44313</v>
      </c>
      <c r="B28">
        <v>16214</v>
      </c>
      <c r="C28">
        <v>11893</v>
      </c>
      <c r="D28">
        <v>1414</v>
      </c>
      <c r="E28">
        <v>2907</v>
      </c>
      <c r="F28">
        <v>4</v>
      </c>
    </row>
    <row r="29" spans="1:6" x14ac:dyDescent="0.25">
      <c r="A29" s="1">
        <v>44314</v>
      </c>
      <c r="B29">
        <v>5780</v>
      </c>
      <c r="C29">
        <v>4225</v>
      </c>
      <c r="D29">
        <v>180</v>
      </c>
      <c r="E29">
        <v>1375</v>
      </c>
      <c r="F29">
        <v>4</v>
      </c>
    </row>
    <row r="30" spans="1:6" x14ac:dyDescent="0.25">
      <c r="A30" s="1">
        <v>44315</v>
      </c>
      <c r="B30">
        <v>8443</v>
      </c>
      <c r="C30">
        <v>6220</v>
      </c>
      <c r="D30">
        <v>326</v>
      </c>
      <c r="E30">
        <v>1897</v>
      </c>
      <c r="F30">
        <v>4</v>
      </c>
    </row>
    <row r="31" spans="1:6" x14ac:dyDescent="0.25">
      <c r="A31" s="1">
        <v>44316</v>
      </c>
      <c r="B31">
        <v>10577</v>
      </c>
      <c r="C31">
        <v>7608</v>
      </c>
      <c r="D31">
        <v>668</v>
      </c>
      <c r="E31">
        <v>2301</v>
      </c>
      <c r="F31">
        <v>4</v>
      </c>
    </row>
    <row r="32" spans="1:6" x14ac:dyDescent="0.25">
      <c r="A32" s="1">
        <v>44317</v>
      </c>
      <c r="B32">
        <v>21690</v>
      </c>
      <c r="C32">
        <v>15412</v>
      </c>
      <c r="D32">
        <v>2938</v>
      </c>
      <c r="E32">
        <v>3340</v>
      </c>
      <c r="F32">
        <v>5</v>
      </c>
    </row>
    <row r="33" spans="1:6" x14ac:dyDescent="0.25">
      <c r="A33" s="1">
        <v>44318</v>
      </c>
      <c r="B33">
        <v>22206</v>
      </c>
      <c r="C33">
        <v>15998</v>
      </c>
      <c r="D33">
        <v>3293</v>
      </c>
      <c r="E33">
        <v>2915</v>
      </c>
      <c r="F33">
        <v>5</v>
      </c>
    </row>
    <row r="34" spans="1:6" x14ac:dyDescent="0.25">
      <c r="A34" s="1">
        <v>44319</v>
      </c>
      <c r="B34">
        <v>8531</v>
      </c>
      <c r="C34">
        <v>6495</v>
      </c>
      <c r="D34">
        <v>496</v>
      </c>
      <c r="E34">
        <v>1540</v>
      </c>
      <c r="F34">
        <v>5</v>
      </c>
    </row>
    <row r="35" spans="1:6" x14ac:dyDescent="0.25">
      <c r="A35" s="1">
        <v>44320</v>
      </c>
      <c r="B35">
        <v>7884</v>
      </c>
      <c r="C35">
        <v>5814</v>
      </c>
      <c r="D35">
        <v>289</v>
      </c>
      <c r="E35">
        <v>1781</v>
      </c>
      <c r="F35">
        <v>5</v>
      </c>
    </row>
    <row r="36" spans="1:6" x14ac:dyDescent="0.25">
      <c r="A36" s="1">
        <v>44321</v>
      </c>
      <c r="B36">
        <v>10693</v>
      </c>
      <c r="C36">
        <v>7731</v>
      </c>
      <c r="D36">
        <v>495</v>
      </c>
      <c r="E36">
        <v>2467</v>
      </c>
      <c r="F36">
        <v>5</v>
      </c>
    </row>
    <row r="37" spans="1:6" x14ac:dyDescent="0.25">
      <c r="A37" s="1">
        <v>44322</v>
      </c>
      <c r="B37">
        <v>8006</v>
      </c>
      <c r="C37">
        <v>5600</v>
      </c>
      <c r="D37">
        <v>300</v>
      </c>
      <c r="E37">
        <v>2106</v>
      </c>
      <c r="F37">
        <v>5</v>
      </c>
    </row>
    <row r="38" spans="1:6" x14ac:dyDescent="0.25">
      <c r="A38" s="1">
        <v>44323</v>
      </c>
      <c r="B38">
        <v>11233</v>
      </c>
      <c r="C38">
        <v>7760</v>
      </c>
      <c r="D38">
        <v>708</v>
      </c>
      <c r="E38">
        <v>2765</v>
      </c>
      <c r="F38">
        <v>5</v>
      </c>
    </row>
    <row r="39" spans="1:6" x14ac:dyDescent="0.25">
      <c r="A39" s="1">
        <v>44324</v>
      </c>
      <c r="B39">
        <v>12929</v>
      </c>
      <c r="C39">
        <v>8969</v>
      </c>
      <c r="D39">
        <v>1157</v>
      </c>
      <c r="E39">
        <v>2803</v>
      </c>
      <c r="F39">
        <v>5</v>
      </c>
    </row>
    <row r="40" spans="1:6" x14ac:dyDescent="0.25">
      <c r="A40" s="1">
        <v>44325</v>
      </c>
      <c r="B40">
        <v>6071</v>
      </c>
      <c r="C40">
        <v>4166</v>
      </c>
      <c r="D40">
        <v>399</v>
      </c>
      <c r="E40">
        <v>1506</v>
      </c>
      <c r="F40">
        <v>5</v>
      </c>
    </row>
    <row r="41" spans="1:6" x14ac:dyDescent="0.25">
      <c r="A41" s="1">
        <v>44326</v>
      </c>
      <c r="B41">
        <v>7876</v>
      </c>
      <c r="C41">
        <v>5578</v>
      </c>
      <c r="D41">
        <v>362</v>
      </c>
      <c r="E41">
        <v>1936</v>
      </c>
      <c r="F41">
        <v>5</v>
      </c>
    </row>
    <row r="42" spans="1:6" x14ac:dyDescent="0.25">
      <c r="A42" s="1">
        <v>44327</v>
      </c>
      <c r="B42">
        <v>9380</v>
      </c>
      <c r="C42">
        <v>6541</v>
      </c>
      <c r="D42">
        <v>412</v>
      </c>
      <c r="E42">
        <v>2427</v>
      </c>
      <c r="F42">
        <v>5</v>
      </c>
    </row>
    <row r="43" spans="1:6" x14ac:dyDescent="0.25">
      <c r="A43" s="1">
        <v>44328</v>
      </c>
      <c r="B43">
        <v>11428</v>
      </c>
      <c r="C43">
        <v>7861</v>
      </c>
      <c r="D43">
        <v>543</v>
      </c>
      <c r="E43">
        <v>3024</v>
      </c>
      <c r="F43">
        <v>5</v>
      </c>
    </row>
    <row r="44" spans="1:6" x14ac:dyDescent="0.25">
      <c r="A44" s="1">
        <v>44329</v>
      </c>
      <c r="B44">
        <v>14119</v>
      </c>
      <c r="C44">
        <v>9410</v>
      </c>
      <c r="D44">
        <v>970</v>
      </c>
      <c r="E44">
        <v>3739</v>
      </c>
      <c r="F44">
        <v>5</v>
      </c>
    </row>
    <row r="45" spans="1:6" x14ac:dyDescent="0.25">
      <c r="A45" s="1">
        <v>44330</v>
      </c>
      <c r="B45">
        <v>17265</v>
      </c>
      <c r="C45">
        <v>11219</v>
      </c>
      <c r="D45">
        <v>1533</v>
      </c>
      <c r="E45">
        <v>4513</v>
      </c>
      <c r="F45">
        <v>5</v>
      </c>
    </row>
    <row r="46" spans="1:6" x14ac:dyDescent="0.25">
      <c r="A46" s="1">
        <v>44331</v>
      </c>
      <c r="B46">
        <v>13049</v>
      </c>
      <c r="C46">
        <v>8203</v>
      </c>
      <c r="D46">
        <v>1522</v>
      </c>
      <c r="E46">
        <v>3324</v>
      </c>
      <c r="F46">
        <v>5</v>
      </c>
    </row>
    <row r="47" spans="1:6" x14ac:dyDescent="0.25">
      <c r="A47" s="1">
        <v>44332</v>
      </c>
      <c r="B47">
        <v>20364</v>
      </c>
      <c r="C47">
        <v>13324</v>
      </c>
      <c r="D47">
        <v>2644</v>
      </c>
      <c r="E47">
        <v>4396</v>
      </c>
      <c r="F47">
        <v>5</v>
      </c>
    </row>
    <row r="48" spans="1:6" x14ac:dyDescent="0.25">
      <c r="A48" s="1">
        <v>44333</v>
      </c>
      <c r="B48">
        <v>12795</v>
      </c>
      <c r="C48">
        <v>8696</v>
      </c>
      <c r="D48">
        <v>1053</v>
      </c>
      <c r="E48">
        <v>3046</v>
      </c>
      <c r="F48">
        <v>5</v>
      </c>
    </row>
    <row r="49" spans="1:6" x14ac:dyDescent="0.25">
      <c r="A49" s="1">
        <v>44334</v>
      </c>
      <c r="B49">
        <v>10549</v>
      </c>
      <c r="C49">
        <v>7113</v>
      </c>
      <c r="D49">
        <v>695</v>
      </c>
      <c r="E49">
        <v>2741</v>
      </c>
      <c r="F49">
        <v>5</v>
      </c>
    </row>
    <row r="50" spans="1:6" x14ac:dyDescent="0.25">
      <c r="A50" s="1">
        <v>44335</v>
      </c>
      <c r="B50">
        <v>13406</v>
      </c>
      <c r="C50">
        <v>9244</v>
      </c>
      <c r="D50">
        <v>700</v>
      </c>
      <c r="E50">
        <v>3462</v>
      </c>
      <c r="F50">
        <v>5</v>
      </c>
    </row>
    <row r="51" spans="1:6" x14ac:dyDescent="0.25">
      <c r="A51" s="1">
        <v>44336</v>
      </c>
      <c r="B51">
        <v>17304</v>
      </c>
      <c r="C51">
        <v>11946</v>
      </c>
      <c r="D51">
        <v>1430</v>
      </c>
      <c r="E51">
        <v>3928</v>
      </c>
      <c r="F51">
        <v>5</v>
      </c>
    </row>
    <row r="52" spans="1:6" x14ac:dyDescent="0.25">
      <c r="A52" s="1">
        <v>44337</v>
      </c>
      <c r="B52">
        <v>20889</v>
      </c>
      <c r="C52">
        <v>13872</v>
      </c>
      <c r="D52">
        <v>2241</v>
      </c>
      <c r="E52">
        <v>4776</v>
      </c>
      <c r="F52">
        <v>5</v>
      </c>
    </row>
    <row r="53" spans="1:6" x14ac:dyDescent="0.25">
      <c r="A53" s="1">
        <v>44338</v>
      </c>
      <c r="B53">
        <v>30104</v>
      </c>
      <c r="C53">
        <v>20938</v>
      </c>
      <c r="D53">
        <v>4168</v>
      </c>
      <c r="E53">
        <v>4998</v>
      </c>
      <c r="F53">
        <v>5</v>
      </c>
    </row>
    <row r="54" spans="1:6" x14ac:dyDescent="0.25">
      <c r="A54" s="1">
        <v>44339</v>
      </c>
      <c r="B54">
        <v>18677</v>
      </c>
      <c r="C54">
        <v>12403</v>
      </c>
      <c r="D54">
        <v>2431</v>
      </c>
      <c r="E54">
        <v>3843</v>
      </c>
      <c r="F54">
        <v>5</v>
      </c>
    </row>
    <row r="55" spans="1:6" x14ac:dyDescent="0.25">
      <c r="A55" s="1">
        <v>44340</v>
      </c>
      <c r="B55">
        <v>16910</v>
      </c>
      <c r="C55">
        <v>11443</v>
      </c>
      <c r="D55">
        <v>1670</v>
      </c>
      <c r="E55">
        <v>3797</v>
      </c>
      <c r="F55">
        <v>5</v>
      </c>
    </row>
    <row r="56" spans="1:6" x14ac:dyDescent="0.25">
      <c r="A56" s="1">
        <v>44341</v>
      </c>
      <c r="B56">
        <v>15846</v>
      </c>
      <c r="C56">
        <v>10905</v>
      </c>
      <c r="D56">
        <v>1057</v>
      </c>
      <c r="E56">
        <v>3884</v>
      </c>
      <c r="F56">
        <v>5</v>
      </c>
    </row>
    <row r="57" spans="1:6" x14ac:dyDescent="0.25">
      <c r="A57" s="1">
        <v>44342</v>
      </c>
      <c r="B57">
        <v>17105</v>
      </c>
      <c r="C57">
        <v>12227</v>
      </c>
      <c r="D57">
        <v>1126</v>
      </c>
      <c r="E57">
        <v>3752</v>
      </c>
      <c r="F57">
        <v>5</v>
      </c>
    </row>
    <row r="58" spans="1:6" x14ac:dyDescent="0.25">
      <c r="A58" s="1">
        <v>44343</v>
      </c>
      <c r="B58">
        <v>9676</v>
      </c>
      <c r="C58">
        <v>6683</v>
      </c>
      <c r="D58">
        <v>354</v>
      </c>
      <c r="E58">
        <v>2639</v>
      </c>
      <c r="F58">
        <v>5</v>
      </c>
    </row>
    <row r="59" spans="1:6" x14ac:dyDescent="0.25">
      <c r="A59" s="1">
        <v>44344</v>
      </c>
      <c r="B59">
        <v>5682</v>
      </c>
      <c r="C59">
        <v>3751</v>
      </c>
      <c r="D59">
        <v>224</v>
      </c>
      <c r="E59">
        <v>1707</v>
      </c>
      <c r="F59">
        <v>5</v>
      </c>
    </row>
    <row r="60" spans="1:6" x14ac:dyDescent="0.25">
      <c r="A60" s="1">
        <v>44345</v>
      </c>
      <c r="B60">
        <v>18111</v>
      </c>
      <c r="C60">
        <v>12059</v>
      </c>
      <c r="D60">
        <v>2172</v>
      </c>
      <c r="E60">
        <v>3880</v>
      </c>
      <c r="F60">
        <v>5</v>
      </c>
    </row>
    <row r="61" spans="1:6" x14ac:dyDescent="0.25">
      <c r="A61" s="1">
        <v>44346</v>
      </c>
      <c r="B61">
        <v>22761</v>
      </c>
      <c r="C61">
        <v>14884</v>
      </c>
      <c r="D61">
        <v>3448</v>
      </c>
      <c r="E61">
        <v>4429</v>
      </c>
      <c r="F61">
        <v>5</v>
      </c>
    </row>
    <row r="62" spans="1:6" x14ac:dyDescent="0.25">
      <c r="A62" s="1">
        <v>44347</v>
      </c>
      <c r="B62">
        <v>18455</v>
      </c>
      <c r="C62">
        <v>12085</v>
      </c>
      <c r="D62">
        <v>2523</v>
      </c>
      <c r="E62">
        <v>3847</v>
      </c>
      <c r="F62">
        <v>5</v>
      </c>
    </row>
    <row r="63" spans="1:6" x14ac:dyDescent="0.25">
      <c r="A63" s="1">
        <v>44348</v>
      </c>
      <c r="B63">
        <v>16354</v>
      </c>
      <c r="C63">
        <v>11334</v>
      </c>
      <c r="D63">
        <v>1331</v>
      </c>
      <c r="E63">
        <v>3689</v>
      </c>
      <c r="F63">
        <v>6</v>
      </c>
    </row>
    <row r="64" spans="1:6" x14ac:dyDescent="0.25">
      <c r="A64" s="1">
        <v>44349</v>
      </c>
      <c r="B64">
        <v>17081</v>
      </c>
      <c r="C64">
        <v>11642</v>
      </c>
      <c r="D64">
        <v>1097</v>
      </c>
      <c r="E64">
        <v>4342</v>
      </c>
      <c r="F64">
        <v>6</v>
      </c>
    </row>
    <row r="65" spans="1:6" x14ac:dyDescent="0.25">
      <c r="A65" s="1">
        <v>44350</v>
      </c>
      <c r="B65">
        <v>19631</v>
      </c>
      <c r="C65">
        <v>13523</v>
      </c>
      <c r="D65">
        <v>1511</v>
      </c>
      <c r="E65">
        <v>4597</v>
      </c>
      <c r="F65">
        <v>6</v>
      </c>
    </row>
    <row r="66" spans="1:6" x14ac:dyDescent="0.25">
      <c r="A66" s="1">
        <v>44351</v>
      </c>
      <c r="B66">
        <v>21521</v>
      </c>
      <c r="C66">
        <v>14517</v>
      </c>
      <c r="D66">
        <v>2068</v>
      </c>
      <c r="E66">
        <v>4936</v>
      </c>
      <c r="F66">
        <v>6</v>
      </c>
    </row>
    <row r="67" spans="1:6" x14ac:dyDescent="0.25">
      <c r="A67" s="1">
        <v>44352</v>
      </c>
      <c r="B67">
        <v>30320</v>
      </c>
      <c r="C67">
        <v>20770</v>
      </c>
      <c r="D67">
        <v>3556</v>
      </c>
      <c r="E67">
        <v>5994</v>
      </c>
      <c r="F67">
        <v>6</v>
      </c>
    </row>
    <row r="68" spans="1:6" x14ac:dyDescent="0.25">
      <c r="A68" s="1">
        <v>44353</v>
      </c>
      <c r="B68">
        <v>24527</v>
      </c>
      <c r="C68">
        <v>16976</v>
      </c>
      <c r="D68">
        <v>2876</v>
      </c>
      <c r="E68">
        <v>4675</v>
      </c>
      <c r="F68">
        <v>6</v>
      </c>
    </row>
    <row r="69" spans="1:6" x14ac:dyDescent="0.25">
      <c r="A69" s="1">
        <v>44354</v>
      </c>
      <c r="B69">
        <v>14793</v>
      </c>
      <c r="C69">
        <v>10450</v>
      </c>
      <c r="D69">
        <v>1024</v>
      </c>
      <c r="E69">
        <v>3319</v>
      </c>
      <c r="F69">
        <v>6</v>
      </c>
    </row>
    <row r="70" spans="1:6" x14ac:dyDescent="0.25">
      <c r="A70" s="1">
        <v>44355</v>
      </c>
      <c r="B70">
        <v>18815</v>
      </c>
      <c r="C70">
        <v>13218</v>
      </c>
      <c r="D70">
        <v>1231</v>
      </c>
      <c r="E70">
        <v>4366</v>
      </c>
      <c r="F70">
        <v>6</v>
      </c>
    </row>
    <row r="71" spans="1:6" x14ac:dyDescent="0.25">
      <c r="A71" s="1">
        <v>44356</v>
      </c>
      <c r="B71">
        <v>20676</v>
      </c>
      <c r="C71">
        <v>14656</v>
      </c>
      <c r="D71">
        <v>1487</v>
      </c>
      <c r="E71">
        <v>4533</v>
      </c>
      <c r="F71">
        <v>6</v>
      </c>
    </row>
    <row r="72" spans="1:6" x14ac:dyDescent="0.25">
      <c r="A72" s="1">
        <v>44357</v>
      </c>
      <c r="B72">
        <v>21281</v>
      </c>
      <c r="C72">
        <v>15178</v>
      </c>
      <c r="D72">
        <v>1425</v>
      </c>
      <c r="E72">
        <v>4678</v>
      </c>
      <c r="F72">
        <v>6</v>
      </c>
    </row>
    <row r="73" spans="1:6" x14ac:dyDescent="0.25">
      <c r="A73" s="1">
        <v>44358</v>
      </c>
      <c r="B73">
        <v>24869</v>
      </c>
      <c r="C73">
        <v>16962</v>
      </c>
      <c r="D73">
        <v>2259</v>
      </c>
      <c r="E73">
        <v>5648</v>
      </c>
      <c r="F73">
        <v>6</v>
      </c>
    </row>
    <row r="74" spans="1:6" x14ac:dyDescent="0.25">
      <c r="A74" s="1">
        <v>44359</v>
      </c>
      <c r="B74">
        <v>28841</v>
      </c>
      <c r="C74">
        <v>20637</v>
      </c>
      <c r="D74">
        <v>3250</v>
      </c>
      <c r="E74">
        <v>4954</v>
      </c>
      <c r="F74">
        <v>6</v>
      </c>
    </row>
    <row r="75" spans="1:6" x14ac:dyDescent="0.25">
      <c r="A75" s="1">
        <v>44360</v>
      </c>
      <c r="B75">
        <v>29919</v>
      </c>
      <c r="C75">
        <v>21951</v>
      </c>
      <c r="D75">
        <v>3466</v>
      </c>
      <c r="E75">
        <v>4502</v>
      </c>
      <c r="F75">
        <v>6</v>
      </c>
    </row>
    <row r="76" spans="1:6" x14ac:dyDescent="0.25">
      <c r="A76" s="1">
        <v>44361</v>
      </c>
      <c r="B76">
        <v>19366</v>
      </c>
      <c r="C76">
        <v>13850</v>
      </c>
      <c r="D76">
        <v>1586</v>
      </c>
      <c r="E76">
        <v>3930</v>
      </c>
      <c r="F76">
        <v>6</v>
      </c>
    </row>
    <row r="77" spans="1:6" x14ac:dyDescent="0.25">
      <c r="A77" s="1">
        <v>44362</v>
      </c>
      <c r="B77">
        <v>20333</v>
      </c>
      <c r="C77">
        <v>14651</v>
      </c>
      <c r="D77">
        <v>1421</v>
      </c>
      <c r="E77">
        <v>4261</v>
      </c>
      <c r="F77">
        <v>6</v>
      </c>
    </row>
    <row r="78" spans="1:6" x14ac:dyDescent="0.25">
      <c r="A78" s="1">
        <v>44363</v>
      </c>
      <c r="B78">
        <v>21539</v>
      </c>
      <c r="C78">
        <v>15708</v>
      </c>
      <c r="D78">
        <v>1457</v>
      </c>
      <c r="E78">
        <v>4374</v>
      </c>
      <c r="F78">
        <v>6</v>
      </c>
    </row>
    <row r="79" spans="1:6" x14ac:dyDescent="0.25">
      <c r="A79" s="1">
        <v>44364</v>
      </c>
      <c r="B79">
        <v>21771</v>
      </c>
      <c r="C79">
        <v>15621</v>
      </c>
      <c r="D79">
        <v>1628</v>
      </c>
      <c r="E79">
        <v>4522</v>
      </c>
      <c r="F79">
        <v>6</v>
      </c>
    </row>
    <row r="80" spans="1:6" x14ac:dyDescent="0.25">
      <c r="A80" s="1">
        <v>44365</v>
      </c>
      <c r="B80">
        <v>23542</v>
      </c>
      <c r="C80">
        <v>17453</v>
      </c>
      <c r="D80">
        <v>2192</v>
      </c>
      <c r="E80">
        <v>3897</v>
      </c>
      <c r="F80">
        <v>6</v>
      </c>
    </row>
    <row r="81" spans="1:6" x14ac:dyDescent="0.25">
      <c r="A81" s="1">
        <v>44366</v>
      </c>
      <c r="B81">
        <v>31261</v>
      </c>
      <c r="C81">
        <v>23848</v>
      </c>
      <c r="D81">
        <v>3426</v>
      </c>
      <c r="E81">
        <v>3987</v>
      </c>
      <c r="F81">
        <v>6</v>
      </c>
    </row>
    <row r="82" spans="1:6" x14ac:dyDescent="0.25">
      <c r="A82" s="1">
        <v>44367</v>
      </c>
      <c r="B82">
        <v>18388</v>
      </c>
      <c r="C82">
        <v>13780</v>
      </c>
      <c r="D82">
        <v>1999</v>
      </c>
      <c r="E82">
        <v>2609</v>
      </c>
      <c r="F82">
        <v>6</v>
      </c>
    </row>
    <row r="83" spans="1:6" x14ac:dyDescent="0.25">
      <c r="A83" s="1">
        <v>44368</v>
      </c>
      <c r="B83">
        <v>17988</v>
      </c>
      <c r="C83">
        <v>12823</v>
      </c>
      <c r="D83">
        <v>1205</v>
      </c>
      <c r="E83">
        <v>3960</v>
      </c>
      <c r="F83">
        <v>6</v>
      </c>
    </row>
    <row r="84" spans="1:6" x14ac:dyDescent="0.25">
      <c r="A84" s="1">
        <v>44369</v>
      </c>
      <c r="B84">
        <v>20929</v>
      </c>
      <c r="C84">
        <v>15012</v>
      </c>
      <c r="D84">
        <v>1496</v>
      </c>
      <c r="E84">
        <v>4421</v>
      </c>
      <c r="F84">
        <v>6</v>
      </c>
    </row>
    <row r="85" spans="1:6" x14ac:dyDescent="0.25">
      <c r="A85" s="1">
        <v>44370</v>
      </c>
      <c r="B85">
        <v>19720</v>
      </c>
      <c r="C85">
        <v>14452</v>
      </c>
      <c r="D85">
        <v>1103</v>
      </c>
      <c r="E85">
        <v>4165</v>
      </c>
      <c r="F85">
        <v>6</v>
      </c>
    </row>
    <row r="86" spans="1:6" x14ac:dyDescent="0.25">
      <c r="A86" s="1">
        <v>44371</v>
      </c>
      <c r="B86">
        <v>12373</v>
      </c>
      <c r="C86">
        <v>8711</v>
      </c>
      <c r="D86">
        <v>572</v>
      </c>
      <c r="E86">
        <v>3090</v>
      </c>
      <c r="F86">
        <v>6</v>
      </c>
    </row>
    <row r="87" spans="1:6" x14ac:dyDescent="0.25">
      <c r="A87" s="1">
        <v>44372</v>
      </c>
      <c r="B87">
        <v>13415</v>
      </c>
      <c r="C87">
        <v>9132</v>
      </c>
      <c r="D87">
        <v>940</v>
      </c>
      <c r="E87">
        <v>3343</v>
      </c>
      <c r="F87">
        <v>6</v>
      </c>
    </row>
    <row r="88" spans="1:6" x14ac:dyDescent="0.25">
      <c r="A88" s="1">
        <v>44373</v>
      </c>
      <c r="B88">
        <v>11694</v>
      </c>
      <c r="C88">
        <v>7979</v>
      </c>
      <c r="D88">
        <v>1007</v>
      </c>
      <c r="E88">
        <v>2708</v>
      </c>
      <c r="F88">
        <v>6</v>
      </c>
    </row>
    <row r="89" spans="1:6" x14ac:dyDescent="0.25">
      <c r="A89" s="1">
        <v>44374</v>
      </c>
      <c r="B89">
        <v>24158</v>
      </c>
      <c r="C89">
        <v>17103</v>
      </c>
      <c r="D89">
        <v>2627</v>
      </c>
      <c r="E89">
        <v>4428</v>
      </c>
      <c r="F89">
        <v>6</v>
      </c>
    </row>
    <row r="90" spans="1:6" x14ac:dyDescent="0.25">
      <c r="A90" s="1">
        <v>44375</v>
      </c>
      <c r="B90">
        <v>13383</v>
      </c>
      <c r="C90">
        <v>9480</v>
      </c>
      <c r="D90">
        <v>822</v>
      </c>
      <c r="E90">
        <v>3081</v>
      </c>
      <c r="F90">
        <v>6</v>
      </c>
    </row>
    <row r="91" spans="1:6" x14ac:dyDescent="0.25">
      <c r="A91" s="1">
        <v>44376</v>
      </c>
      <c r="B91">
        <v>14631</v>
      </c>
      <c r="C91">
        <v>10629</v>
      </c>
      <c r="D91">
        <v>894</v>
      </c>
      <c r="E91">
        <v>3108</v>
      </c>
      <c r="F91">
        <v>6</v>
      </c>
    </row>
    <row r="92" spans="1:6" x14ac:dyDescent="0.25">
      <c r="A92" s="1">
        <v>44377</v>
      </c>
      <c r="B92">
        <v>15659</v>
      </c>
      <c r="C92">
        <v>11741</v>
      </c>
      <c r="D92">
        <v>760</v>
      </c>
      <c r="E92">
        <v>3158</v>
      </c>
      <c r="F92">
        <v>6</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2FEF4-DF7F-4B84-B360-CD4E50AAABA1}">
  <dimension ref="A3:D300"/>
  <sheetViews>
    <sheetView topLeftCell="A22" workbookViewId="0">
      <selection activeCell="A26" sqref="A26"/>
    </sheetView>
  </sheetViews>
  <sheetFormatPr defaultRowHeight="15" x14ac:dyDescent="0.25"/>
  <cols>
    <col min="1" max="1" width="13.140625" bestFit="1" customWidth="1"/>
    <col min="2" max="4" width="19.28515625" bestFit="1" customWidth="1"/>
    <col min="5" max="25" width="5.140625" bestFit="1" customWidth="1"/>
    <col min="26" max="91" width="6.140625" bestFit="1" customWidth="1"/>
    <col min="92" max="92" width="18.28515625" bestFit="1" customWidth="1"/>
    <col min="93" max="116" width="5.140625" bestFit="1" customWidth="1"/>
    <col min="117" max="182" width="6.140625" bestFit="1" customWidth="1"/>
    <col min="183" max="183" width="19.28515625" bestFit="1" customWidth="1"/>
    <col min="184" max="207" width="5.140625" bestFit="1" customWidth="1"/>
    <col min="208" max="273" width="6.140625" bestFit="1" customWidth="1"/>
    <col min="274" max="274" width="11" bestFit="1" customWidth="1"/>
  </cols>
  <sheetData>
    <row r="3" spans="1:4" x14ac:dyDescent="0.25">
      <c r="A3" s="2" t="s">
        <v>4</v>
      </c>
      <c r="B3" t="s">
        <v>57</v>
      </c>
      <c r="C3" t="s">
        <v>58</v>
      </c>
      <c r="D3" t="s">
        <v>59</v>
      </c>
    </row>
    <row r="4" spans="1:4" x14ac:dyDescent="0.25">
      <c r="A4" s="3" t="s">
        <v>5</v>
      </c>
      <c r="B4" s="4">
        <v>214128</v>
      </c>
      <c r="C4" s="4">
        <v>24714</v>
      </c>
      <c r="D4" s="4">
        <v>59365</v>
      </c>
    </row>
    <row r="5" spans="1:4" x14ac:dyDescent="0.25">
      <c r="A5" s="3" t="s">
        <v>6</v>
      </c>
      <c r="B5" s="4">
        <v>308330</v>
      </c>
      <c r="C5" s="4">
        <v>43353</v>
      </c>
      <c r="D5" s="4">
        <v>99311</v>
      </c>
    </row>
    <row r="6" spans="1:4" x14ac:dyDescent="0.25">
      <c r="A6" s="3" t="s">
        <v>7</v>
      </c>
      <c r="B6" s="4">
        <v>433787</v>
      </c>
      <c r="C6" s="4">
        <v>51716</v>
      </c>
      <c r="D6" s="4">
        <v>123275</v>
      </c>
    </row>
    <row r="7" spans="1:4" x14ac:dyDescent="0.25">
      <c r="A7" s="3" t="s">
        <v>55</v>
      </c>
      <c r="B7" s="4">
        <v>956245</v>
      </c>
      <c r="C7" s="4">
        <v>119783</v>
      </c>
      <c r="D7" s="4">
        <v>281951</v>
      </c>
    </row>
    <row r="26" spans="1:1" x14ac:dyDescent="0.25">
      <c r="A26" s="2" t="s">
        <v>4</v>
      </c>
    </row>
    <row r="27" spans="1:1" x14ac:dyDescent="0.25">
      <c r="A27" s="3">
        <v>3290</v>
      </c>
    </row>
    <row r="28" spans="1:1" x14ac:dyDescent="0.25">
      <c r="A28" s="5">
        <v>195</v>
      </c>
    </row>
    <row r="29" spans="1:1" x14ac:dyDescent="0.25">
      <c r="A29" s="6">
        <v>1327</v>
      </c>
    </row>
    <row r="30" spans="1:1" x14ac:dyDescent="0.25">
      <c r="A30" s="3">
        <v>3398</v>
      </c>
    </row>
    <row r="31" spans="1:1" x14ac:dyDescent="0.25">
      <c r="A31" s="5">
        <v>215</v>
      </c>
    </row>
    <row r="32" spans="1:1" x14ac:dyDescent="0.25">
      <c r="A32" s="6">
        <v>1032</v>
      </c>
    </row>
    <row r="33" spans="1:1" x14ac:dyDescent="0.25">
      <c r="A33" s="3">
        <v>3431</v>
      </c>
    </row>
    <row r="34" spans="1:1" x14ac:dyDescent="0.25">
      <c r="A34" s="5">
        <v>360</v>
      </c>
    </row>
    <row r="35" spans="1:1" x14ac:dyDescent="0.25">
      <c r="A35" s="6">
        <v>973</v>
      </c>
    </row>
    <row r="36" spans="1:1" x14ac:dyDescent="0.25">
      <c r="A36" s="3">
        <v>3751</v>
      </c>
    </row>
    <row r="37" spans="1:1" x14ac:dyDescent="0.25">
      <c r="A37" s="5">
        <v>224</v>
      </c>
    </row>
    <row r="38" spans="1:1" x14ac:dyDescent="0.25">
      <c r="A38" s="6">
        <v>1707</v>
      </c>
    </row>
    <row r="39" spans="1:1" x14ac:dyDescent="0.25">
      <c r="A39" s="3">
        <v>4063</v>
      </c>
    </row>
    <row r="40" spans="1:1" x14ac:dyDescent="0.25">
      <c r="A40" s="5">
        <v>142</v>
      </c>
    </row>
    <row r="41" spans="1:1" x14ac:dyDescent="0.25">
      <c r="A41" s="6">
        <v>1356</v>
      </c>
    </row>
    <row r="42" spans="1:1" x14ac:dyDescent="0.25">
      <c r="A42" s="3">
        <v>4106</v>
      </c>
    </row>
    <row r="43" spans="1:1" x14ac:dyDescent="0.25">
      <c r="A43" s="5">
        <v>149</v>
      </c>
    </row>
    <row r="44" spans="1:1" x14ac:dyDescent="0.25">
      <c r="A44" s="6">
        <v>1416</v>
      </c>
    </row>
    <row r="45" spans="1:1" x14ac:dyDescent="0.25">
      <c r="A45" s="3">
        <v>4166</v>
      </c>
    </row>
    <row r="46" spans="1:1" x14ac:dyDescent="0.25">
      <c r="A46" s="5">
        <v>399</v>
      </c>
    </row>
    <row r="47" spans="1:1" x14ac:dyDescent="0.25">
      <c r="A47" s="6">
        <v>1506</v>
      </c>
    </row>
    <row r="48" spans="1:1" x14ac:dyDescent="0.25">
      <c r="A48" s="3">
        <v>4225</v>
      </c>
    </row>
    <row r="49" spans="1:1" x14ac:dyDescent="0.25">
      <c r="A49" s="5">
        <v>180</v>
      </c>
    </row>
    <row r="50" spans="1:1" x14ac:dyDescent="0.25">
      <c r="A50" s="6">
        <v>1375</v>
      </c>
    </row>
    <row r="51" spans="1:1" x14ac:dyDescent="0.25">
      <c r="A51" s="3">
        <v>4248</v>
      </c>
    </row>
    <row r="52" spans="1:1" x14ac:dyDescent="0.25">
      <c r="A52" s="5">
        <v>184</v>
      </c>
    </row>
    <row r="53" spans="1:1" x14ac:dyDescent="0.25">
      <c r="A53" s="6">
        <v>1451</v>
      </c>
    </row>
    <row r="54" spans="1:1" x14ac:dyDescent="0.25">
      <c r="A54" s="3">
        <v>5232</v>
      </c>
    </row>
    <row r="55" spans="1:1" x14ac:dyDescent="0.25">
      <c r="A55" s="5">
        <v>301</v>
      </c>
    </row>
    <row r="56" spans="1:1" x14ac:dyDescent="0.25">
      <c r="A56" s="6">
        <v>1840</v>
      </c>
    </row>
    <row r="57" spans="1:1" x14ac:dyDescent="0.25">
      <c r="A57" s="3">
        <v>5431</v>
      </c>
    </row>
    <row r="58" spans="1:1" x14ac:dyDescent="0.25">
      <c r="A58" s="5">
        <v>304</v>
      </c>
    </row>
    <row r="59" spans="1:1" x14ac:dyDescent="0.25">
      <c r="A59" s="6">
        <v>1878</v>
      </c>
    </row>
    <row r="60" spans="1:1" x14ac:dyDescent="0.25">
      <c r="A60" s="3">
        <v>5578</v>
      </c>
    </row>
    <row r="61" spans="1:1" x14ac:dyDescent="0.25">
      <c r="A61" s="5">
        <v>362</v>
      </c>
    </row>
    <row r="62" spans="1:1" x14ac:dyDescent="0.25">
      <c r="A62" s="6">
        <v>1936</v>
      </c>
    </row>
    <row r="63" spans="1:1" x14ac:dyDescent="0.25">
      <c r="A63" s="3">
        <v>5600</v>
      </c>
    </row>
    <row r="64" spans="1:1" x14ac:dyDescent="0.25">
      <c r="A64" s="5">
        <v>300</v>
      </c>
    </row>
    <row r="65" spans="1:1" x14ac:dyDescent="0.25">
      <c r="A65" s="6">
        <v>2106</v>
      </c>
    </row>
    <row r="66" spans="1:1" x14ac:dyDescent="0.25">
      <c r="A66" s="3">
        <v>5641</v>
      </c>
    </row>
    <row r="67" spans="1:1" x14ac:dyDescent="0.25">
      <c r="A67" s="5">
        <v>564</v>
      </c>
    </row>
    <row r="68" spans="1:1" x14ac:dyDescent="0.25">
      <c r="A68" s="6">
        <v>1512</v>
      </c>
    </row>
    <row r="69" spans="1:1" x14ac:dyDescent="0.25">
      <c r="A69" s="3">
        <v>5647</v>
      </c>
    </row>
    <row r="70" spans="1:1" x14ac:dyDescent="0.25">
      <c r="A70" s="5">
        <v>683</v>
      </c>
    </row>
    <row r="71" spans="1:1" x14ac:dyDescent="0.25">
      <c r="A71" s="6">
        <v>1887</v>
      </c>
    </row>
    <row r="72" spans="1:1" x14ac:dyDescent="0.25">
      <c r="A72" s="3">
        <v>5814</v>
      </c>
    </row>
    <row r="73" spans="1:1" x14ac:dyDescent="0.25">
      <c r="A73" s="5">
        <v>289</v>
      </c>
    </row>
    <row r="74" spans="1:1" x14ac:dyDescent="0.25">
      <c r="A74" s="6">
        <v>1781</v>
      </c>
    </row>
    <row r="75" spans="1:1" x14ac:dyDescent="0.25">
      <c r="A75" s="3">
        <v>6220</v>
      </c>
    </row>
    <row r="76" spans="1:1" x14ac:dyDescent="0.25">
      <c r="A76" s="5">
        <v>326</v>
      </c>
    </row>
    <row r="77" spans="1:1" x14ac:dyDescent="0.25">
      <c r="A77" s="6">
        <v>1897</v>
      </c>
    </row>
    <row r="78" spans="1:1" x14ac:dyDescent="0.25">
      <c r="A78" s="3">
        <v>6495</v>
      </c>
    </row>
    <row r="79" spans="1:1" x14ac:dyDescent="0.25">
      <c r="A79" s="5">
        <v>496</v>
      </c>
    </row>
    <row r="80" spans="1:1" x14ac:dyDescent="0.25">
      <c r="A80" s="6">
        <v>1540</v>
      </c>
    </row>
    <row r="81" spans="1:1" x14ac:dyDescent="0.25">
      <c r="A81" s="3">
        <v>6541</v>
      </c>
    </row>
    <row r="82" spans="1:1" x14ac:dyDescent="0.25">
      <c r="A82" s="5">
        <v>412</v>
      </c>
    </row>
    <row r="83" spans="1:1" x14ac:dyDescent="0.25">
      <c r="A83" s="6">
        <v>2427</v>
      </c>
    </row>
    <row r="84" spans="1:1" x14ac:dyDescent="0.25">
      <c r="A84" s="3">
        <v>6587</v>
      </c>
    </row>
    <row r="85" spans="1:1" x14ac:dyDescent="0.25">
      <c r="A85" s="5">
        <v>428</v>
      </c>
    </row>
    <row r="86" spans="1:1" x14ac:dyDescent="0.25">
      <c r="A86" s="6">
        <v>1922</v>
      </c>
    </row>
    <row r="87" spans="1:1" x14ac:dyDescent="0.25">
      <c r="A87" s="3">
        <v>6683</v>
      </c>
    </row>
    <row r="88" spans="1:1" x14ac:dyDescent="0.25">
      <c r="A88" s="5">
        <v>354</v>
      </c>
    </row>
    <row r="89" spans="1:1" x14ac:dyDescent="0.25">
      <c r="A89" s="6">
        <v>2639</v>
      </c>
    </row>
    <row r="90" spans="1:1" x14ac:dyDescent="0.25">
      <c r="A90" s="3">
        <v>6778</v>
      </c>
    </row>
    <row r="91" spans="1:1" x14ac:dyDescent="0.25">
      <c r="A91" s="5">
        <v>492</v>
      </c>
    </row>
    <row r="92" spans="1:1" x14ac:dyDescent="0.25">
      <c r="A92" s="6">
        <v>2222</v>
      </c>
    </row>
    <row r="93" spans="1:1" x14ac:dyDescent="0.25">
      <c r="A93" s="3">
        <v>6956</v>
      </c>
    </row>
    <row r="94" spans="1:1" x14ac:dyDescent="0.25">
      <c r="A94" s="5">
        <v>598</v>
      </c>
    </row>
    <row r="95" spans="1:1" x14ac:dyDescent="0.25">
      <c r="A95" s="6">
        <v>2174</v>
      </c>
    </row>
    <row r="96" spans="1:1" x14ac:dyDescent="0.25">
      <c r="A96" s="3">
        <v>7074</v>
      </c>
    </row>
    <row r="97" spans="1:1" x14ac:dyDescent="0.25">
      <c r="A97" s="5">
        <v>958</v>
      </c>
    </row>
    <row r="98" spans="1:1" x14ac:dyDescent="0.25">
      <c r="A98" s="6">
        <v>1781</v>
      </c>
    </row>
    <row r="99" spans="1:1" x14ac:dyDescent="0.25">
      <c r="A99" s="3">
        <v>7113</v>
      </c>
    </row>
    <row r="100" spans="1:1" x14ac:dyDescent="0.25">
      <c r="A100" s="5">
        <v>695</v>
      </c>
    </row>
    <row r="101" spans="1:1" x14ac:dyDescent="0.25">
      <c r="A101" s="6">
        <v>2741</v>
      </c>
    </row>
    <row r="102" spans="1:1" x14ac:dyDescent="0.25">
      <c r="A102" s="3">
        <v>7346</v>
      </c>
    </row>
    <row r="103" spans="1:1" x14ac:dyDescent="0.25">
      <c r="A103" s="5">
        <v>675</v>
      </c>
    </row>
    <row r="104" spans="1:1" x14ac:dyDescent="0.25">
      <c r="A104" s="6">
        <v>1863</v>
      </c>
    </row>
    <row r="105" spans="1:1" x14ac:dyDescent="0.25">
      <c r="A105" s="3">
        <v>7608</v>
      </c>
    </row>
    <row r="106" spans="1:1" x14ac:dyDescent="0.25">
      <c r="A106" s="5">
        <v>668</v>
      </c>
    </row>
    <row r="107" spans="1:1" x14ac:dyDescent="0.25">
      <c r="A107" s="6">
        <v>2301</v>
      </c>
    </row>
    <row r="108" spans="1:1" x14ac:dyDescent="0.25">
      <c r="A108" s="3">
        <v>7637</v>
      </c>
    </row>
    <row r="109" spans="1:1" x14ac:dyDescent="0.25">
      <c r="A109" s="5">
        <v>954</v>
      </c>
    </row>
    <row r="110" spans="1:1" x14ac:dyDescent="0.25">
      <c r="A110" s="6">
        <v>1657</v>
      </c>
    </row>
    <row r="111" spans="1:1" x14ac:dyDescent="0.25">
      <c r="A111" s="3">
        <v>7731</v>
      </c>
    </row>
    <row r="112" spans="1:1" x14ac:dyDescent="0.25">
      <c r="A112" s="5">
        <v>495</v>
      </c>
    </row>
    <row r="113" spans="1:1" x14ac:dyDescent="0.25">
      <c r="A113" s="6">
        <v>2467</v>
      </c>
    </row>
    <row r="114" spans="1:1" x14ac:dyDescent="0.25">
      <c r="A114" s="3">
        <v>7760</v>
      </c>
    </row>
    <row r="115" spans="1:1" x14ac:dyDescent="0.25">
      <c r="A115" s="5">
        <v>708</v>
      </c>
    </row>
    <row r="116" spans="1:1" x14ac:dyDescent="0.25">
      <c r="A116" s="6">
        <v>2765</v>
      </c>
    </row>
    <row r="117" spans="1:1" x14ac:dyDescent="0.25">
      <c r="A117" s="3">
        <v>7861</v>
      </c>
    </row>
    <row r="118" spans="1:1" x14ac:dyDescent="0.25">
      <c r="A118" s="5">
        <v>543</v>
      </c>
    </row>
    <row r="119" spans="1:1" x14ac:dyDescent="0.25">
      <c r="A119" s="6">
        <v>3024</v>
      </c>
    </row>
    <row r="120" spans="1:1" x14ac:dyDescent="0.25">
      <c r="A120" s="3">
        <v>7979</v>
      </c>
    </row>
    <row r="121" spans="1:1" x14ac:dyDescent="0.25">
      <c r="A121" s="5">
        <v>1007</v>
      </c>
    </row>
    <row r="122" spans="1:1" x14ac:dyDescent="0.25">
      <c r="A122" s="6">
        <v>2708</v>
      </c>
    </row>
    <row r="123" spans="1:1" x14ac:dyDescent="0.25">
      <c r="A123" s="3">
        <v>8007</v>
      </c>
    </row>
    <row r="124" spans="1:1" x14ac:dyDescent="0.25">
      <c r="A124" s="5">
        <v>1007</v>
      </c>
    </row>
    <row r="125" spans="1:1" x14ac:dyDescent="0.25">
      <c r="A125" s="6">
        <v>2033</v>
      </c>
    </row>
    <row r="126" spans="1:1" x14ac:dyDescent="0.25">
      <c r="A126" s="3">
        <v>8161</v>
      </c>
    </row>
    <row r="127" spans="1:1" x14ac:dyDescent="0.25">
      <c r="A127" s="5">
        <v>1318</v>
      </c>
    </row>
    <row r="128" spans="1:1" x14ac:dyDescent="0.25">
      <c r="A128" s="6">
        <v>2412</v>
      </c>
    </row>
    <row r="129" spans="1:1" x14ac:dyDescent="0.25">
      <c r="A129" s="3">
        <v>8203</v>
      </c>
    </row>
    <row r="130" spans="1:1" x14ac:dyDescent="0.25">
      <c r="A130" s="5">
        <v>1522</v>
      </c>
    </row>
    <row r="131" spans="1:1" x14ac:dyDescent="0.25">
      <c r="A131" s="6">
        <v>3324</v>
      </c>
    </row>
    <row r="132" spans="1:1" x14ac:dyDescent="0.25">
      <c r="A132" s="3">
        <v>8328</v>
      </c>
    </row>
    <row r="133" spans="1:1" x14ac:dyDescent="0.25">
      <c r="A133" s="5">
        <v>720</v>
      </c>
    </row>
    <row r="134" spans="1:1" x14ac:dyDescent="0.25">
      <c r="A134" s="6">
        <v>2765</v>
      </c>
    </row>
    <row r="135" spans="1:1" x14ac:dyDescent="0.25">
      <c r="A135" s="3">
        <v>8696</v>
      </c>
    </row>
    <row r="136" spans="1:1" x14ac:dyDescent="0.25">
      <c r="A136" s="5">
        <v>1053</v>
      </c>
    </row>
    <row r="137" spans="1:1" x14ac:dyDescent="0.25">
      <c r="A137" s="6">
        <v>3046</v>
      </c>
    </row>
    <row r="138" spans="1:1" x14ac:dyDescent="0.25">
      <c r="A138" s="3">
        <v>8703</v>
      </c>
    </row>
    <row r="139" spans="1:1" x14ac:dyDescent="0.25">
      <c r="A139" s="5">
        <v>1310</v>
      </c>
    </row>
    <row r="140" spans="1:1" x14ac:dyDescent="0.25">
      <c r="A140" s="6">
        <v>2535</v>
      </c>
    </row>
    <row r="141" spans="1:1" x14ac:dyDescent="0.25">
      <c r="A141" s="3">
        <v>8711</v>
      </c>
    </row>
    <row r="142" spans="1:1" x14ac:dyDescent="0.25">
      <c r="A142" s="5">
        <v>572</v>
      </c>
    </row>
    <row r="143" spans="1:1" x14ac:dyDescent="0.25">
      <c r="A143" s="6">
        <v>3090</v>
      </c>
    </row>
    <row r="144" spans="1:1" x14ac:dyDescent="0.25">
      <c r="A144" s="3">
        <v>8969</v>
      </c>
    </row>
    <row r="145" spans="1:1" x14ac:dyDescent="0.25">
      <c r="A145" s="5">
        <v>1157</v>
      </c>
    </row>
    <row r="146" spans="1:1" x14ac:dyDescent="0.25">
      <c r="A146" s="6">
        <v>2803</v>
      </c>
    </row>
    <row r="147" spans="1:1" x14ac:dyDescent="0.25">
      <c r="A147" s="3">
        <v>9132</v>
      </c>
    </row>
    <row r="148" spans="1:1" x14ac:dyDescent="0.25">
      <c r="A148" s="5">
        <v>940</v>
      </c>
    </row>
    <row r="149" spans="1:1" x14ac:dyDescent="0.25">
      <c r="A149" s="6">
        <v>3343</v>
      </c>
    </row>
    <row r="150" spans="1:1" x14ac:dyDescent="0.25">
      <c r="A150" s="3">
        <v>9244</v>
      </c>
    </row>
    <row r="151" spans="1:1" x14ac:dyDescent="0.25">
      <c r="A151" s="5">
        <v>700</v>
      </c>
    </row>
    <row r="152" spans="1:1" x14ac:dyDescent="0.25">
      <c r="A152" s="6">
        <v>3462</v>
      </c>
    </row>
    <row r="153" spans="1:1" x14ac:dyDescent="0.25">
      <c r="A153" s="3">
        <v>9317</v>
      </c>
    </row>
    <row r="154" spans="1:1" x14ac:dyDescent="0.25">
      <c r="A154" s="5">
        <v>998</v>
      </c>
    </row>
    <row r="155" spans="1:1" x14ac:dyDescent="0.25">
      <c r="A155" s="6">
        <v>2439</v>
      </c>
    </row>
    <row r="156" spans="1:1" x14ac:dyDescent="0.25">
      <c r="A156" s="3">
        <v>9410</v>
      </c>
    </row>
    <row r="157" spans="1:1" x14ac:dyDescent="0.25">
      <c r="A157" s="5">
        <v>970</v>
      </c>
    </row>
    <row r="158" spans="1:1" x14ac:dyDescent="0.25">
      <c r="A158" s="6">
        <v>3739</v>
      </c>
    </row>
    <row r="159" spans="1:1" x14ac:dyDescent="0.25">
      <c r="A159" s="3">
        <v>9480</v>
      </c>
    </row>
    <row r="160" spans="1:1" x14ac:dyDescent="0.25">
      <c r="A160" s="5">
        <v>822</v>
      </c>
    </row>
    <row r="161" spans="1:1" x14ac:dyDescent="0.25">
      <c r="A161" s="6">
        <v>3081</v>
      </c>
    </row>
    <row r="162" spans="1:1" x14ac:dyDescent="0.25">
      <c r="A162" s="3">
        <v>9520</v>
      </c>
    </row>
    <row r="163" spans="1:1" x14ac:dyDescent="0.25">
      <c r="A163" s="5">
        <v>1244</v>
      </c>
    </row>
    <row r="164" spans="1:1" x14ac:dyDescent="0.25">
      <c r="A164" s="6">
        <v>2564</v>
      </c>
    </row>
    <row r="165" spans="1:1" x14ac:dyDescent="0.25">
      <c r="A165" s="3">
        <v>10420</v>
      </c>
    </row>
    <row r="166" spans="1:1" x14ac:dyDescent="0.25">
      <c r="A166" s="5">
        <v>1293</v>
      </c>
    </row>
    <row r="167" spans="1:1" x14ac:dyDescent="0.25">
      <c r="A167" s="6">
        <v>2345</v>
      </c>
    </row>
    <row r="168" spans="1:1" x14ac:dyDescent="0.25">
      <c r="A168" s="3">
        <v>10450</v>
      </c>
    </row>
    <row r="169" spans="1:1" x14ac:dyDescent="0.25">
      <c r="A169" s="5">
        <v>1024</v>
      </c>
    </row>
    <row r="170" spans="1:1" x14ac:dyDescent="0.25">
      <c r="A170" s="6">
        <v>3319</v>
      </c>
    </row>
    <row r="171" spans="1:1" x14ac:dyDescent="0.25">
      <c r="A171" s="3">
        <v>10629</v>
      </c>
    </row>
    <row r="172" spans="1:1" x14ac:dyDescent="0.25">
      <c r="A172" s="5">
        <v>894</v>
      </c>
    </row>
    <row r="173" spans="1:1" x14ac:dyDescent="0.25">
      <c r="A173" s="6">
        <v>3108</v>
      </c>
    </row>
    <row r="174" spans="1:1" x14ac:dyDescent="0.25">
      <c r="A174" s="3">
        <v>10905</v>
      </c>
    </row>
    <row r="175" spans="1:1" x14ac:dyDescent="0.25">
      <c r="A175" s="5">
        <v>1057</v>
      </c>
    </row>
    <row r="176" spans="1:1" x14ac:dyDescent="0.25">
      <c r="A176" s="6">
        <v>3884</v>
      </c>
    </row>
    <row r="177" spans="1:1" x14ac:dyDescent="0.25">
      <c r="A177" s="3">
        <v>11166</v>
      </c>
    </row>
    <row r="178" spans="1:1" x14ac:dyDescent="0.25">
      <c r="A178" s="5">
        <v>2612</v>
      </c>
    </row>
    <row r="179" spans="1:1" x14ac:dyDescent="0.25">
      <c r="A179" s="6">
        <v>2141</v>
      </c>
    </row>
    <row r="180" spans="1:1" x14ac:dyDescent="0.25">
      <c r="A180" s="3">
        <v>11219</v>
      </c>
    </row>
    <row r="181" spans="1:1" x14ac:dyDescent="0.25">
      <c r="A181" s="5">
        <v>1533</v>
      </c>
    </row>
    <row r="182" spans="1:1" x14ac:dyDescent="0.25">
      <c r="A182" s="6">
        <v>4513</v>
      </c>
    </row>
    <row r="183" spans="1:1" x14ac:dyDescent="0.25">
      <c r="A183" s="3">
        <v>11334</v>
      </c>
    </row>
    <row r="184" spans="1:1" x14ac:dyDescent="0.25">
      <c r="A184" s="5">
        <v>1331</v>
      </c>
    </row>
    <row r="185" spans="1:1" x14ac:dyDescent="0.25">
      <c r="A185" s="6">
        <v>3689</v>
      </c>
    </row>
    <row r="186" spans="1:1" x14ac:dyDescent="0.25">
      <c r="A186" s="3">
        <v>11337</v>
      </c>
    </row>
    <row r="187" spans="1:1" x14ac:dyDescent="0.25">
      <c r="A187" s="5">
        <v>1668</v>
      </c>
    </row>
    <row r="188" spans="1:1" x14ac:dyDescent="0.25">
      <c r="A188" s="6">
        <v>2538</v>
      </c>
    </row>
    <row r="189" spans="1:1" x14ac:dyDescent="0.25">
      <c r="A189" s="3">
        <v>11443</v>
      </c>
    </row>
    <row r="190" spans="1:1" x14ac:dyDescent="0.25">
      <c r="A190" s="5">
        <v>1670</v>
      </c>
    </row>
    <row r="191" spans="1:1" x14ac:dyDescent="0.25">
      <c r="A191" s="6">
        <v>3797</v>
      </c>
    </row>
    <row r="192" spans="1:1" x14ac:dyDescent="0.25">
      <c r="A192" s="3">
        <v>11642</v>
      </c>
    </row>
    <row r="193" spans="1:1" x14ac:dyDescent="0.25">
      <c r="A193" s="5">
        <v>1097</v>
      </c>
    </row>
    <row r="194" spans="1:1" x14ac:dyDescent="0.25">
      <c r="A194" s="6">
        <v>4342</v>
      </c>
    </row>
    <row r="195" spans="1:1" x14ac:dyDescent="0.25">
      <c r="A195" s="3">
        <v>11741</v>
      </c>
    </row>
    <row r="196" spans="1:1" x14ac:dyDescent="0.25">
      <c r="A196" s="5">
        <v>760</v>
      </c>
    </row>
    <row r="197" spans="1:1" x14ac:dyDescent="0.25">
      <c r="A197" s="6">
        <v>3158</v>
      </c>
    </row>
    <row r="198" spans="1:1" x14ac:dyDescent="0.25">
      <c r="A198" s="3">
        <v>11893</v>
      </c>
    </row>
    <row r="199" spans="1:1" x14ac:dyDescent="0.25">
      <c r="A199" s="5">
        <v>1414</v>
      </c>
    </row>
    <row r="200" spans="1:1" x14ac:dyDescent="0.25">
      <c r="A200" s="6">
        <v>2907</v>
      </c>
    </row>
    <row r="201" spans="1:1" x14ac:dyDescent="0.25">
      <c r="A201" s="3">
        <v>11946</v>
      </c>
    </row>
    <row r="202" spans="1:1" x14ac:dyDescent="0.25">
      <c r="A202" s="5">
        <v>1430</v>
      </c>
    </row>
    <row r="203" spans="1:1" x14ac:dyDescent="0.25">
      <c r="A203" s="6">
        <v>3928</v>
      </c>
    </row>
    <row r="204" spans="1:1" x14ac:dyDescent="0.25">
      <c r="A204" s="3">
        <v>12059</v>
      </c>
    </row>
    <row r="205" spans="1:1" x14ac:dyDescent="0.25">
      <c r="A205" s="5">
        <v>2172</v>
      </c>
    </row>
    <row r="206" spans="1:1" x14ac:dyDescent="0.25">
      <c r="A206" s="6">
        <v>3880</v>
      </c>
    </row>
    <row r="207" spans="1:1" x14ac:dyDescent="0.25">
      <c r="A207" s="3">
        <v>12085</v>
      </c>
    </row>
    <row r="208" spans="1:1" x14ac:dyDescent="0.25">
      <c r="A208" s="5">
        <v>2523</v>
      </c>
    </row>
    <row r="209" spans="1:1" x14ac:dyDescent="0.25">
      <c r="A209" s="6">
        <v>3847</v>
      </c>
    </row>
    <row r="210" spans="1:1" x14ac:dyDescent="0.25">
      <c r="A210" s="3">
        <v>12227</v>
      </c>
    </row>
    <row r="211" spans="1:1" x14ac:dyDescent="0.25">
      <c r="A211" s="5">
        <v>1126</v>
      </c>
    </row>
    <row r="212" spans="1:1" x14ac:dyDescent="0.25">
      <c r="A212" s="6">
        <v>3752</v>
      </c>
    </row>
    <row r="213" spans="1:1" x14ac:dyDescent="0.25">
      <c r="A213" s="3">
        <v>12358</v>
      </c>
    </row>
    <row r="214" spans="1:1" x14ac:dyDescent="0.25">
      <c r="A214" s="5">
        <v>2754</v>
      </c>
    </row>
    <row r="215" spans="1:1" x14ac:dyDescent="0.25">
      <c r="A215" s="6">
        <v>2822</v>
      </c>
    </row>
    <row r="216" spans="1:1" x14ac:dyDescent="0.25">
      <c r="A216" s="3">
        <v>12403</v>
      </c>
    </row>
    <row r="217" spans="1:1" x14ac:dyDescent="0.25">
      <c r="A217" s="5">
        <v>2431</v>
      </c>
    </row>
    <row r="218" spans="1:1" x14ac:dyDescent="0.25">
      <c r="A218" s="6">
        <v>3843</v>
      </c>
    </row>
    <row r="219" spans="1:1" x14ac:dyDescent="0.25">
      <c r="A219" s="3">
        <v>12823</v>
      </c>
    </row>
    <row r="220" spans="1:1" x14ac:dyDescent="0.25">
      <c r="A220" s="5">
        <v>1205</v>
      </c>
    </row>
    <row r="221" spans="1:1" x14ac:dyDescent="0.25">
      <c r="A221" s="6">
        <v>3960</v>
      </c>
    </row>
    <row r="222" spans="1:1" x14ac:dyDescent="0.25">
      <c r="A222" s="3">
        <v>13218</v>
      </c>
    </row>
    <row r="223" spans="1:1" x14ac:dyDescent="0.25">
      <c r="A223" s="5">
        <v>1231</v>
      </c>
    </row>
    <row r="224" spans="1:1" x14ac:dyDescent="0.25">
      <c r="A224" s="6">
        <v>4366</v>
      </c>
    </row>
    <row r="225" spans="1:1" x14ac:dyDescent="0.25">
      <c r="A225" s="3">
        <v>13324</v>
      </c>
    </row>
    <row r="226" spans="1:1" x14ac:dyDescent="0.25">
      <c r="A226" s="5">
        <v>2644</v>
      </c>
    </row>
    <row r="227" spans="1:1" x14ac:dyDescent="0.25">
      <c r="A227" s="6">
        <v>4396</v>
      </c>
    </row>
    <row r="228" spans="1:1" x14ac:dyDescent="0.25">
      <c r="A228" s="3">
        <v>13523</v>
      </c>
    </row>
    <row r="229" spans="1:1" x14ac:dyDescent="0.25">
      <c r="A229" s="5">
        <v>1511</v>
      </c>
    </row>
    <row r="230" spans="1:1" x14ac:dyDescent="0.25">
      <c r="A230" s="6">
        <v>4597</v>
      </c>
    </row>
    <row r="231" spans="1:1" x14ac:dyDescent="0.25">
      <c r="A231" s="3">
        <v>13780</v>
      </c>
    </row>
    <row r="232" spans="1:1" x14ac:dyDescent="0.25">
      <c r="A232" s="5">
        <v>1999</v>
      </c>
    </row>
    <row r="233" spans="1:1" x14ac:dyDescent="0.25">
      <c r="A233" s="6">
        <v>2609</v>
      </c>
    </row>
    <row r="234" spans="1:1" x14ac:dyDescent="0.25">
      <c r="A234" s="3">
        <v>13850</v>
      </c>
    </row>
    <row r="235" spans="1:1" x14ac:dyDescent="0.25">
      <c r="A235" s="5">
        <v>1586</v>
      </c>
    </row>
    <row r="236" spans="1:1" x14ac:dyDescent="0.25">
      <c r="A236" s="6">
        <v>3930</v>
      </c>
    </row>
    <row r="237" spans="1:1" x14ac:dyDescent="0.25">
      <c r="A237" s="3">
        <v>13872</v>
      </c>
    </row>
    <row r="238" spans="1:1" x14ac:dyDescent="0.25">
      <c r="A238" s="5">
        <v>2241</v>
      </c>
    </row>
    <row r="239" spans="1:1" x14ac:dyDescent="0.25">
      <c r="A239" s="6">
        <v>4776</v>
      </c>
    </row>
    <row r="240" spans="1:1" x14ac:dyDescent="0.25">
      <c r="A240" s="3">
        <v>14452</v>
      </c>
    </row>
    <row r="241" spans="1:1" x14ac:dyDescent="0.25">
      <c r="A241" s="5">
        <v>1103</v>
      </c>
    </row>
    <row r="242" spans="1:1" x14ac:dyDescent="0.25">
      <c r="A242" s="6">
        <v>4165</v>
      </c>
    </row>
    <row r="243" spans="1:1" x14ac:dyDescent="0.25">
      <c r="A243" s="3">
        <v>14517</v>
      </c>
    </row>
    <row r="244" spans="1:1" x14ac:dyDescent="0.25">
      <c r="A244" s="5">
        <v>2068</v>
      </c>
    </row>
    <row r="245" spans="1:1" x14ac:dyDescent="0.25">
      <c r="A245" s="6">
        <v>4936</v>
      </c>
    </row>
    <row r="246" spans="1:1" x14ac:dyDescent="0.25">
      <c r="A246" s="3">
        <v>14651</v>
      </c>
    </row>
    <row r="247" spans="1:1" x14ac:dyDescent="0.25">
      <c r="A247" s="5">
        <v>1421</v>
      </c>
    </row>
    <row r="248" spans="1:1" x14ac:dyDescent="0.25">
      <c r="A248" s="6">
        <v>4261</v>
      </c>
    </row>
    <row r="249" spans="1:1" x14ac:dyDescent="0.25">
      <c r="A249" s="3">
        <v>14656</v>
      </c>
    </row>
    <row r="250" spans="1:1" x14ac:dyDescent="0.25">
      <c r="A250" s="5">
        <v>1487</v>
      </c>
    </row>
    <row r="251" spans="1:1" x14ac:dyDescent="0.25">
      <c r="A251" s="6">
        <v>4533</v>
      </c>
    </row>
    <row r="252" spans="1:1" x14ac:dyDescent="0.25">
      <c r="A252" s="3">
        <v>14884</v>
      </c>
    </row>
    <row r="253" spans="1:1" x14ac:dyDescent="0.25">
      <c r="A253" s="5">
        <v>3448</v>
      </c>
    </row>
    <row r="254" spans="1:1" x14ac:dyDescent="0.25">
      <c r="A254" s="6">
        <v>4429</v>
      </c>
    </row>
    <row r="255" spans="1:1" x14ac:dyDescent="0.25">
      <c r="A255" s="3">
        <v>15012</v>
      </c>
    </row>
    <row r="256" spans="1:1" x14ac:dyDescent="0.25">
      <c r="A256" s="5">
        <v>1496</v>
      </c>
    </row>
    <row r="257" spans="1:1" x14ac:dyDescent="0.25">
      <c r="A257" s="6">
        <v>4421</v>
      </c>
    </row>
    <row r="258" spans="1:1" x14ac:dyDescent="0.25">
      <c r="A258" s="3">
        <v>15178</v>
      </c>
    </row>
    <row r="259" spans="1:1" x14ac:dyDescent="0.25">
      <c r="A259" s="5">
        <v>1425</v>
      </c>
    </row>
    <row r="260" spans="1:1" x14ac:dyDescent="0.25">
      <c r="A260" s="6">
        <v>4678</v>
      </c>
    </row>
    <row r="261" spans="1:1" x14ac:dyDescent="0.25">
      <c r="A261" s="3">
        <v>15412</v>
      </c>
    </row>
    <row r="262" spans="1:1" x14ac:dyDescent="0.25">
      <c r="A262" s="5">
        <v>2938</v>
      </c>
    </row>
    <row r="263" spans="1:1" x14ac:dyDescent="0.25">
      <c r="A263" s="6">
        <v>3340</v>
      </c>
    </row>
    <row r="264" spans="1:1" x14ac:dyDescent="0.25">
      <c r="A264" s="3">
        <v>15621</v>
      </c>
    </row>
    <row r="265" spans="1:1" x14ac:dyDescent="0.25">
      <c r="A265" s="5">
        <v>1628</v>
      </c>
    </row>
    <row r="266" spans="1:1" x14ac:dyDescent="0.25">
      <c r="A266" s="6">
        <v>4522</v>
      </c>
    </row>
    <row r="267" spans="1:1" x14ac:dyDescent="0.25">
      <c r="A267" s="3">
        <v>15708</v>
      </c>
    </row>
    <row r="268" spans="1:1" x14ac:dyDescent="0.25">
      <c r="A268" s="5">
        <v>1457</v>
      </c>
    </row>
    <row r="269" spans="1:1" x14ac:dyDescent="0.25">
      <c r="A269" s="6">
        <v>4374</v>
      </c>
    </row>
    <row r="270" spans="1:1" x14ac:dyDescent="0.25">
      <c r="A270" s="3">
        <v>15998</v>
      </c>
    </row>
    <row r="271" spans="1:1" x14ac:dyDescent="0.25">
      <c r="A271" s="5">
        <v>3293</v>
      </c>
    </row>
    <row r="272" spans="1:1" x14ac:dyDescent="0.25">
      <c r="A272" s="6">
        <v>2915</v>
      </c>
    </row>
    <row r="273" spans="1:1" x14ac:dyDescent="0.25">
      <c r="A273" s="3">
        <v>16962</v>
      </c>
    </row>
    <row r="274" spans="1:1" x14ac:dyDescent="0.25">
      <c r="A274" s="5">
        <v>2259</v>
      </c>
    </row>
    <row r="275" spans="1:1" x14ac:dyDescent="0.25">
      <c r="A275" s="6">
        <v>5648</v>
      </c>
    </row>
    <row r="276" spans="1:1" x14ac:dyDescent="0.25">
      <c r="A276" s="3">
        <v>16976</v>
      </c>
    </row>
    <row r="277" spans="1:1" x14ac:dyDescent="0.25">
      <c r="A277" s="5">
        <v>2876</v>
      </c>
    </row>
    <row r="278" spans="1:1" x14ac:dyDescent="0.25">
      <c r="A278" s="6">
        <v>4675</v>
      </c>
    </row>
    <row r="279" spans="1:1" x14ac:dyDescent="0.25">
      <c r="A279" s="3">
        <v>17103</v>
      </c>
    </row>
    <row r="280" spans="1:1" x14ac:dyDescent="0.25">
      <c r="A280" s="5">
        <v>2627</v>
      </c>
    </row>
    <row r="281" spans="1:1" x14ac:dyDescent="0.25">
      <c r="A281" s="6">
        <v>4428</v>
      </c>
    </row>
    <row r="282" spans="1:1" x14ac:dyDescent="0.25">
      <c r="A282" s="3">
        <v>17453</v>
      </c>
    </row>
    <row r="283" spans="1:1" x14ac:dyDescent="0.25">
      <c r="A283" s="5">
        <v>2192</v>
      </c>
    </row>
    <row r="284" spans="1:1" x14ac:dyDescent="0.25">
      <c r="A284" s="6">
        <v>3897</v>
      </c>
    </row>
    <row r="285" spans="1:1" x14ac:dyDescent="0.25">
      <c r="A285" s="3">
        <v>20637</v>
      </c>
    </row>
    <row r="286" spans="1:1" x14ac:dyDescent="0.25">
      <c r="A286" s="5">
        <v>3250</v>
      </c>
    </row>
    <row r="287" spans="1:1" x14ac:dyDescent="0.25">
      <c r="A287" s="6">
        <v>4954</v>
      </c>
    </row>
    <row r="288" spans="1:1" x14ac:dyDescent="0.25">
      <c r="A288" s="3">
        <v>20770</v>
      </c>
    </row>
    <row r="289" spans="1:1" x14ac:dyDescent="0.25">
      <c r="A289" s="5">
        <v>3556</v>
      </c>
    </row>
    <row r="290" spans="1:1" x14ac:dyDescent="0.25">
      <c r="A290" s="6">
        <v>5994</v>
      </c>
    </row>
    <row r="291" spans="1:1" x14ac:dyDescent="0.25">
      <c r="A291" s="3">
        <v>20938</v>
      </c>
    </row>
    <row r="292" spans="1:1" x14ac:dyDescent="0.25">
      <c r="A292" s="5">
        <v>4168</v>
      </c>
    </row>
    <row r="293" spans="1:1" x14ac:dyDescent="0.25">
      <c r="A293" s="6">
        <v>4998</v>
      </c>
    </row>
    <row r="294" spans="1:1" x14ac:dyDescent="0.25">
      <c r="A294" s="3">
        <v>21951</v>
      </c>
    </row>
    <row r="295" spans="1:1" x14ac:dyDescent="0.25">
      <c r="A295" s="5">
        <v>3466</v>
      </c>
    </row>
    <row r="296" spans="1:1" x14ac:dyDescent="0.25">
      <c r="A296" s="6">
        <v>4502</v>
      </c>
    </row>
    <row r="297" spans="1:1" x14ac:dyDescent="0.25">
      <c r="A297" s="3">
        <v>23848</v>
      </c>
    </row>
    <row r="298" spans="1:1" x14ac:dyDescent="0.25">
      <c r="A298" s="5">
        <v>3426</v>
      </c>
    </row>
    <row r="299" spans="1:1" x14ac:dyDescent="0.25">
      <c r="A299" s="6">
        <v>3987</v>
      </c>
    </row>
    <row r="300" spans="1:1" x14ac:dyDescent="0.25">
      <c r="A300" s="3" t="s">
        <v>55</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A6DFD-EE61-4076-BD72-96E56699AA53}">
  <dimension ref="C4"/>
  <sheetViews>
    <sheetView showGridLines="0" tabSelected="1" topLeftCell="B1" zoomScaleNormal="100" workbookViewId="0">
      <selection activeCell="W12" sqref="W12"/>
    </sheetView>
  </sheetViews>
  <sheetFormatPr defaultRowHeight="15" x14ac:dyDescent="0.25"/>
  <cols>
    <col min="1" max="16384" width="9.140625" style="9"/>
  </cols>
  <sheetData>
    <row r="4" spans="3:3" x14ac:dyDescent="0.25">
      <c r="C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0EE351-3D50-4712-861F-A6139E5603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Daily_PV</vt:lpstr>
      <vt:lpstr>daily_data (1)</vt:lpstr>
      <vt:lpstr>weekly_data (1)</vt:lpstr>
      <vt:lpstr>Wkly_PV</vt:lpstr>
      <vt:lpstr>monthly_data (1)</vt:lpstr>
      <vt:lpstr>Mthly_PV</vt:lpstr>
      <vt:lpstr>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myat myatnwe</dc:creator>
  <cp:lastModifiedBy>myat myatnwe</cp:lastModifiedBy>
  <dcterms:created xsi:type="dcterms:W3CDTF">2025-10-06T15:39:49Z</dcterms:created>
  <dcterms:modified xsi:type="dcterms:W3CDTF">2025-11-23T15:23:12Z</dcterms:modified>
</cp:coreProperties>
</file>