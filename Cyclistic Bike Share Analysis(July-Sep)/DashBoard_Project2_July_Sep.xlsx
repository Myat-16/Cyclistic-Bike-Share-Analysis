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Simbolo\Stastic_project\Data\Cyclistic Bike Share DashBoard Analysis\July-Sep\"/>
    </mc:Choice>
  </mc:AlternateContent>
  <xr:revisionPtr revIDLastSave="0" documentId="13_ncr:1_{1BBD8799-8D12-4E4D-A3AA-2A2E22732CCF}" xr6:coauthVersionLast="47" xr6:coauthVersionMax="47" xr10:uidLastSave="{00000000-0000-0000-0000-000000000000}"/>
  <bookViews>
    <workbookView xWindow="22932" yWindow="-108" windowWidth="23256" windowHeight="12456" firstSheet="1" activeTab="6" xr2:uid="{DF8E2F41-A6EC-4695-B461-3984CD7EFD69}"/>
  </bookViews>
  <sheets>
    <sheet name="daily_ave_ride_duration_by_bike" sheetId="7" r:id="rId1"/>
    <sheet name="daily_ave_ride_duration_by_user" sheetId="6" r:id="rId2"/>
    <sheet name="monthly_rides_bt" sheetId="3" r:id="rId3"/>
    <sheet name="daily_data" sheetId="2" r:id="rId4"/>
    <sheet name="DailyPV" sheetId="8" r:id="rId5"/>
    <sheet name="weekly_data (2)" sheetId="11" r:id="rId6"/>
    <sheet name="DB" sheetId="9" r:id="rId7"/>
  </sheets>
  <definedNames>
    <definedName name="ExternalData_1" localSheetId="1" hidden="1">daily_ave_ride_duration_by_user!$A$1:$C$93</definedName>
    <definedName name="ExternalData_1" localSheetId="3" hidden="1">daily_data!$A$1:$E$93</definedName>
    <definedName name="ExternalData_1" localSheetId="5" hidden="1">'weekly_data (2)'!$A$1:$E$8</definedName>
    <definedName name="ExternalData_2" localSheetId="0" hidden="1">daily_ave_ride_duration_by_bike!$A$1:$D$93</definedName>
    <definedName name="ExternalData_2" localSheetId="2" hidden="1">monthly_rides_bt!$A$1:$D$93</definedName>
    <definedName name="Slicer_Months__started">#N/A</definedName>
  </definedNames>
  <calcPr calcId="191029"/>
  <pivotCaches>
    <pivotCache cacheId="7" r:id="rId8"/>
    <pivotCache cacheId="8" r:id="rId9"/>
    <pivotCache cacheId="9" r:id="rId10"/>
    <pivotCache cacheId="10" r:id="rId11"/>
    <pivotCache cacheId="1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3" l="1"/>
  <c r="M5" i="3"/>
  <c r="M3" i="3"/>
  <c r="L5" i="3"/>
  <c r="L4" i="3"/>
  <c r="L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770B9E-A946-42FA-BB10-405B99559D4B}" keepAlive="1" name="Query - daily_ave_ride_duration_by_bikes" description="Connection to the 'daily_ave_ride_duration_by_bikes' query in the workbook." type="5" refreshedVersion="8" background="1" saveData="1">
    <dbPr connection="Provider=Microsoft.Mashup.OleDb.1;Data Source=$Workbook$;Location=daily_ave_ride_duration_by_bikes;Extended Properties=&quot;&quot;" command="SELECT * FROM [daily_ave_ride_duration_by_bikes]"/>
  </connection>
  <connection id="2" xr16:uid="{4E2B7496-8F27-4F44-A081-E8C80F96469C}" keepAlive="1" name="Query - daily_ave_ride_duration_by_user" description="Connection to the 'daily_ave_ride_duration_by_user' query in the workbook." type="5" refreshedVersion="8" background="1" saveData="1">
    <dbPr connection="Provider=Microsoft.Mashup.OleDb.1;Data Source=$Workbook$;Location=daily_ave_ride_duration_by_user;Extended Properties=&quot;&quot;" command="SELECT * FROM [daily_ave_ride_duration_by_user]"/>
  </connection>
  <connection id="3" xr16:uid="{7726CE56-9CB4-4B3A-8CA3-9E36DBA5B0D8}" keepAlive="1" name="Query - daily_data" description="Connection to the 'daily_data' query in the workbook." type="5" refreshedVersion="8" background="1" saveData="1">
    <dbPr connection="Provider=Microsoft.Mashup.OleDb.1;Data Source=$Workbook$;Location=daily_data;Extended Properties=&quot;&quot;" command="SELECT * FROM [daily_data]"/>
  </connection>
  <connection id="4" xr16:uid="{E3DBABD2-F7AB-4017-8736-DDF3E4356E3F}" keepAlive="1" name="Query - monthly_rides_bt" description="Connection to the 'monthly_rides_bt' query in the workbook." type="5" refreshedVersion="8" background="1" saveData="1">
    <dbPr connection="Provider=Microsoft.Mashup.OleDb.1;Data Source=$Workbook$;Location=monthly_rides_bt;Extended Properties=&quot;&quot;" command="SELECT * FROM [monthly_rides_bt]"/>
  </connection>
  <connection id="5" xr16:uid="{FFAD72EC-F106-45ED-81DF-11545FD39F00}" keepAlive="1" name="Query - weekly_data" description="Connection to the 'weekly_data' query in the workbook." type="5" refreshedVersion="0" background="1">
    <dbPr connection="Provider=Microsoft.Mashup.OleDb.1;Data Source=$Workbook$;Location=weekly_data;Extended Properties=&quot;&quot;" command="SELECT * FROM [weekly_data]"/>
  </connection>
  <connection id="6" xr16:uid="{23100DCF-F919-4F71-B41B-8E7C142CB7FE}" keepAlive="1" name="Query - weekly_data (2)" description="Connection to the 'weekly_data (2)' query in the workbook." type="5" refreshedVersion="8" background="1" saveData="1">
    <dbPr connection="Provider=Microsoft.Mashup.OleDb.1;Data Source=$Workbook$;Location=&quot;weekly_data (2)&quot;;Extended Properties=&quot;&quot;" command="SELECT * FROM [weekly_data (2)]"/>
  </connection>
</connections>
</file>

<file path=xl/sharedStrings.xml><?xml version="1.0" encoding="utf-8"?>
<sst xmlns="http://schemas.openxmlformats.org/spreadsheetml/2006/main" count="113" uniqueCount="71">
  <si>
    <t>Column1</t>
  </si>
  <si>
    <t>started</t>
  </si>
  <si>
    <t>ride_id</t>
  </si>
  <si>
    <t>casual</t>
  </si>
  <si>
    <t>member</t>
  </si>
  <si>
    <t>classic_bike</t>
  </si>
  <si>
    <t>docked_bike</t>
  </si>
  <si>
    <t>electric_bike</t>
  </si>
  <si>
    <t>Sum of ride_id</t>
  </si>
  <si>
    <t>Row Labels</t>
  </si>
  <si>
    <t>Grand Total</t>
  </si>
  <si>
    <t>Jul</t>
  </si>
  <si>
    <t>Aug</t>
  </si>
  <si>
    <t>Sep</t>
  </si>
  <si>
    <t>CasualCount</t>
  </si>
  <si>
    <t>MemberCount</t>
  </si>
  <si>
    <t>RideCount</t>
  </si>
  <si>
    <t>Month</t>
  </si>
  <si>
    <t>Classicbike_Count</t>
  </si>
  <si>
    <t>Dockedbike_Count</t>
  </si>
  <si>
    <t>Electricbike_Count</t>
  </si>
  <si>
    <t>Type</t>
  </si>
  <si>
    <t>Classicbike</t>
  </si>
  <si>
    <t>Dockedbike</t>
  </si>
  <si>
    <t>Electricbike</t>
  </si>
  <si>
    <t>Count</t>
  </si>
  <si>
    <t>Percentage</t>
  </si>
  <si>
    <t>CasualRide_Minutes</t>
  </si>
  <si>
    <t>MemberRide_Minutes</t>
  </si>
  <si>
    <t>ClassicBike_duration</t>
  </si>
  <si>
    <t>DockedBike_duration</t>
  </si>
  <si>
    <t>ElectricBike_duration</t>
  </si>
  <si>
    <t>weekdays</t>
  </si>
  <si>
    <t>Friday</t>
  </si>
  <si>
    <t>Monday</t>
  </si>
  <si>
    <t>Saturday</t>
  </si>
  <si>
    <t>Sunday</t>
  </si>
  <si>
    <t>Thursday</t>
  </si>
  <si>
    <t>Tuesday</t>
  </si>
  <si>
    <t>Wednesday</t>
  </si>
  <si>
    <t xml:space="preserve"> Cyclistic Bike share Analysis </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</si>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</sst>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3" x14ac:knownFonts="1">
    <font>
      <sz val="11"/>
      <color theme="1"/>
      <name val="Calibri"/>
      <family val="2"/>
      <scheme val="minor"/>
    </font>
    <font>
      <sz val="11"/>
      <color theme="1"/>
      <name val="Calibri"/>
      <family val="2"/>
      <scheme val="minor"/>
    </font>
    <font>
      <sz val="48"/>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 fontId="0" fillId="0" borderId="0" xfId="0" applyNumberFormat="1"/>
    <xf numFmtId="0" fontId="2" fillId="0" borderId="0" xfId="0" applyFont="1"/>
    <xf numFmtId="0" fontId="0" fillId="2" borderId="0" xfId="0" applyFill="1"/>
    <xf numFmtId="0" fontId="0" fillId="0" borderId="0" xfId="0" applyNumberFormat="1"/>
  </cellXfs>
  <cellStyles count="2">
    <cellStyle name="Normal" xfId="0" builtinId="0"/>
    <cellStyle name="Percent" xfId="1" builtinId="5"/>
  </cellStyles>
  <dxfs count="11">
    <dxf>
      <numFmt numFmtId="0" formatCode="General"/>
    </dxf>
    <dxf>
      <numFmt numFmtId="164" formatCode="#,##0,&quot;K&quot;"/>
    </dxf>
    <dxf>
      <numFmt numFmtId="19" formatCode="dd/mm/yyyy"/>
    </dxf>
    <dxf>
      <numFmt numFmtId="19" formatCode="dd/mm/yyyy"/>
    </dxf>
    <dxf>
      <numFmt numFmtId="1" formatCode="0"/>
    </dxf>
    <dxf>
      <numFmt numFmtId="1" formatCode="0"/>
    </dxf>
    <dxf>
      <numFmt numFmtId="19" formatCode="dd/mm/yyyy"/>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[DashBoard_Project2_July_Sep.xlsx]daily_ave_ride_duration_by_bike!PivotTable8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Ride Duration by Bike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daily_ave_ride_duration_by_bike!$G$3</c:f>
              <c:strCache>
                <c:ptCount val="1"/>
                <c:pt idx="0">
                  <c:v>ClassicBike_duration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daily_ave_ride_duration_by_bike!$F$4:$F$6</c:f>
              <c:strCache>
                <c:ptCount val="3"/>
                <c:pt idx="0">
                  <c:v>Jul</c:v>
                </c:pt>
                <c:pt idx="1">
                  <c:v>Aug</c:v>
                </c:pt>
                <c:pt idx="2">
                  <c:v>Sep</c:v>
                </c:pt>
              </c:strCache>
            </c:strRef>
          </c:cat>
          <c:val>
            <c:numRef>
              <c:f>daily_ave_ride_duration_by_bike!$G$4:$G$6</c:f>
              <c:numCache>
                <c:formatCode>0</c:formatCode>
                <c:ptCount val="3"/>
                <c:pt idx="0">
                  <c:v>592.50734747081015</c:v>
                </c:pt>
                <c:pt idx="1">
                  <c:v>567.95689655304216</c:v>
                </c:pt>
                <c:pt idx="2">
                  <c:v>524.78133085283719</c:v>
                </c:pt>
              </c:numCache>
            </c:numRef>
          </c:val>
          <c:extLst>
            <c:ext xmlns:c16="http://schemas.microsoft.com/office/drawing/2014/chart" uri="{C3380CC4-5D6E-409C-BE32-E72D297353CC}">
              <c16:uniqueId val="{00000000-AE65-45E2-BFD0-79DBD883D2CA}"/>
            </c:ext>
          </c:extLst>
        </c:ser>
        <c:ser>
          <c:idx val="1"/>
          <c:order val="1"/>
          <c:tx>
            <c:strRef>
              <c:f>daily_ave_ride_duration_by_bike!$H$3</c:f>
              <c:strCache>
                <c:ptCount val="1"/>
                <c:pt idx="0">
                  <c:v>DockedBike_duration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daily_ave_ride_duration_by_bike!$F$4:$F$6</c:f>
              <c:strCache>
                <c:ptCount val="3"/>
                <c:pt idx="0">
                  <c:v>Jul</c:v>
                </c:pt>
                <c:pt idx="1">
                  <c:v>Aug</c:v>
                </c:pt>
                <c:pt idx="2">
                  <c:v>Sep</c:v>
                </c:pt>
              </c:strCache>
            </c:strRef>
          </c:cat>
          <c:val>
            <c:numRef>
              <c:f>daily_ave_ride_duration_by_bike!$H$4:$H$6</c:f>
              <c:numCache>
                <c:formatCode>0</c:formatCode>
                <c:ptCount val="3"/>
                <c:pt idx="0">
                  <c:v>2484.3058299850277</c:v>
                </c:pt>
                <c:pt idx="1">
                  <c:v>1829.5958031039111</c:v>
                </c:pt>
                <c:pt idx="2">
                  <c:v>1784.0637062778508</c:v>
                </c:pt>
              </c:numCache>
            </c:numRef>
          </c:val>
          <c:extLst>
            <c:ext xmlns:c16="http://schemas.microsoft.com/office/drawing/2014/chart" uri="{C3380CC4-5D6E-409C-BE32-E72D297353CC}">
              <c16:uniqueId val="{00000001-AE65-45E2-BFD0-79DBD883D2CA}"/>
            </c:ext>
          </c:extLst>
        </c:ser>
        <c:ser>
          <c:idx val="2"/>
          <c:order val="2"/>
          <c:tx>
            <c:strRef>
              <c:f>daily_ave_ride_duration_by_bike!$I$3</c:f>
              <c:strCache>
                <c:ptCount val="1"/>
                <c:pt idx="0">
                  <c:v>ElectricBike_duration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daily_ave_ride_duration_by_bike!$F$4:$F$6</c:f>
              <c:strCache>
                <c:ptCount val="3"/>
                <c:pt idx="0">
                  <c:v>Jul</c:v>
                </c:pt>
                <c:pt idx="1">
                  <c:v>Aug</c:v>
                </c:pt>
                <c:pt idx="2">
                  <c:v>Sep</c:v>
                </c:pt>
              </c:strCache>
            </c:strRef>
          </c:cat>
          <c:val>
            <c:numRef>
              <c:f>daily_ave_ride_duration_by_bike!$I$4:$I$6</c:f>
              <c:numCache>
                <c:formatCode>0</c:formatCode>
                <c:ptCount val="3"/>
                <c:pt idx="0">
                  <c:v>543.91452159138555</c:v>
                </c:pt>
                <c:pt idx="1">
                  <c:v>525.60148740120997</c:v>
                </c:pt>
                <c:pt idx="2">
                  <c:v>478.82366432573889</c:v>
                </c:pt>
              </c:numCache>
            </c:numRef>
          </c:val>
          <c:extLst>
            <c:ext xmlns:c16="http://schemas.microsoft.com/office/drawing/2014/chart" uri="{C3380CC4-5D6E-409C-BE32-E72D297353CC}">
              <c16:uniqueId val="{00000002-AE65-45E2-BFD0-79DBD883D2CA}"/>
            </c:ext>
          </c:extLst>
        </c:ser>
        <c:dLbls>
          <c:dLblPos val="ctr"/>
          <c:showLegendKey val="0"/>
          <c:showVal val="1"/>
          <c:showCatName val="0"/>
          <c:showSerName val="0"/>
          <c:showPercent val="0"/>
          <c:showBubbleSize val="0"/>
        </c:dLbls>
        <c:gapWidth val="219"/>
        <c:overlap val="100"/>
        <c:axId val="773204159"/>
        <c:axId val="773204639"/>
      </c:barChart>
      <c:catAx>
        <c:axId val="7732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04639"/>
        <c:crosses val="autoZero"/>
        <c:auto val="1"/>
        <c:lblAlgn val="ctr"/>
        <c:lblOffset val="100"/>
        <c:noMultiLvlLbl val="0"/>
      </c:catAx>
      <c:valAx>
        <c:axId val="77320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0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[DashBoard_Project2_July_Sep.xlsx]daily_ave_ride_duration_by_user!PivotTable7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Ride Duration per User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daily_ave_ride_duration_by_user!$F$3</c:f>
              <c:strCache>
                <c:ptCount val="1"/>
                <c:pt idx="0">
                  <c:v>CasualRide_Minutes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daily_ave_ride_duration_by_user!$E$4:$E$7</c:f>
              <c:strCache>
                <c:ptCount val="3"/>
                <c:pt idx="0">
                  <c:v>Jul</c:v>
                </c:pt>
                <c:pt idx="1">
                  <c:v>Aug</c:v>
                </c:pt>
                <c:pt idx="2">
                  <c:v>Sep</c:v>
                </c:pt>
              </c:strCache>
            </c:strRef>
          </c:cat>
          <c:val>
            <c:numRef>
              <c:f>daily_ave_ride_duration_by_user!$F$4:$F$7</c:f>
              <c:numCache>
                <c:formatCode>0</c:formatCode>
                <c:ptCount val="3"/>
                <c:pt idx="0">
                  <c:v>1006.1659190073308</c:v>
                </c:pt>
                <c:pt idx="1">
                  <c:v>860.95086448810605</c:v>
                </c:pt>
                <c:pt idx="2">
                  <c:v>789.92311689928977</c:v>
                </c:pt>
              </c:numCache>
            </c:numRef>
          </c:val>
          <c:extLst>
            <c:ext xmlns:c16="http://schemas.microsoft.com/office/drawing/2014/chart" uri="{C3380CC4-5D6E-409C-BE32-E72D297353CC}">
              <c16:uniqueId val="{00000000-0C9E-4191-AD8D-42DA7A5DCE79}"/>
            </c:ext>
          </c:extLst>
        </c:ser>
        <c:ser>
          <c:idx val="1"/>
          <c:order val="1"/>
          <c:tx>
            <c:strRef>
              <c:f>daily_ave_ride_duration_by_user!$G$3</c:f>
              <c:strCache>
                <c:ptCount val="1"/>
                <c:pt idx="0">
                  <c:v>MemberRide_Minutes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daily_ave_ride_duration_by_user!$E$4:$E$7</c:f>
              <c:strCache>
                <c:ptCount val="3"/>
                <c:pt idx="0">
                  <c:v>Jul</c:v>
                </c:pt>
                <c:pt idx="1">
                  <c:v>Aug</c:v>
                </c:pt>
                <c:pt idx="2">
                  <c:v>Sep</c:v>
                </c:pt>
              </c:strCache>
            </c:strRef>
          </c:cat>
          <c:val>
            <c:numRef>
              <c:f>daily_ave_ride_duration_by_user!$G$4:$G$7</c:f>
              <c:numCache>
                <c:formatCode>0</c:formatCode>
                <c:ptCount val="3"/>
                <c:pt idx="0">
                  <c:v>429.06103503812062</c:v>
                </c:pt>
                <c:pt idx="1">
                  <c:v>420.4943948000992</c:v>
                </c:pt>
                <c:pt idx="2">
                  <c:v>395.77832732414498</c:v>
                </c:pt>
              </c:numCache>
            </c:numRef>
          </c:val>
          <c:extLst>
            <c:ext xmlns:c16="http://schemas.microsoft.com/office/drawing/2014/chart" uri="{C3380CC4-5D6E-409C-BE32-E72D297353CC}">
              <c16:uniqueId val="{00000001-0C9E-4191-AD8D-42DA7A5DCE79}"/>
            </c:ext>
          </c:extLst>
        </c:ser>
        <c:dLbls>
          <c:dLblPos val="outEnd"/>
          <c:showLegendKey val="0"/>
          <c:showVal val="1"/>
          <c:showCatName val="0"/>
          <c:showSerName val="0"/>
          <c:showPercent val="0"/>
          <c:showBubbleSize val="0"/>
        </c:dLbls>
        <c:gapWidth val="219"/>
        <c:overlap val="-27"/>
        <c:axId val="775029711"/>
        <c:axId val="775037391"/>
      </c:barChart>
      <c:catAx>
        <c:axId val="77502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37391"/>
        <c:crosses val="autoZero"/>
        <c:auto val="1"/>
        <c:lblAlgn val="ctr"/>
        <c:lblOffset val="100"/>
        <c:noMultiLvlLbl val="0"/>
      </c:catAx>
      <c:valAx>
        <c:axId val="77503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2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Ride by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AD-4A81-A90C-1744B0851B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AD-4A81-A90C-1744B0851B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AD-4A81-A90C-1744B0851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monthly_rides_bt!$K$3:$K$5</c:f>
              <c:strCache>
                <c:ptCount val="3"/>
                <c:pt idx="0">
                  <c:v>Classicbike</c:v>
                </c:pt>
                <c:pt idx="1">
                  <c:v>Dockedbike</c:v>
                </c:pt>
                <c:pt idx="2">
                  <c:v>Electricbike</c:v>
                </c:pt>
              </c:strCache>
            </c:strRef>
          </c:cat>
          <c:val>
            <c:numRef>
              <c:f>monthly_rides_bt!$M$3:$M$5</c:f>
              <c:numCache>
                <c:formatCode>0%</c:formatCode>
                <c:ptCount val="3"/>
                <c:pt idx="0">
                  <c:v>0.73870153127955407</c:v>
                </c:pt>
                <c:pt idx="1">
                  <c:v>6.9470994225003524E-2</c:v>
                </c:pt>
                <c:pt idx="2">
                  <c:v>0.19182747449544238</c:v>
                </c:pt>
              </c:numCache>
            </c:numRef>
          </c:val>
          <c:extLst>
            <c:ext xmlns:c16="http://schemas.microsoft.com/office/drawing/2014/chart" uri="{C3380CC4-5D6E-409C-BE32-E72D297353CC}">
              <c16:uniqueId val="{00000001-8DCD-47BC-9C26-4BD2CC8265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Ride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Lst>
        </c:dLbl>
      </c:pivotFmt>
    </c:pivotFmts>
    <c:plotArea>
      <c:layout/>
      <c:barChart>
        <c:barDir val="col"/>
        <c:grouping val="clustered"/>
        <c:varyColors val="0"/>
        <c:ser>
          <c:idx val="0"/>
          <c:order val="0"/>
          <c:tx>
            <c:strRef>
              <c:f>DailyPV!$A$3</c:f>
              <c:strCache>
                <c:ptCount val="1"/>
                <c:pt idx="0">
                  <c:v>Total</c:v>
                </c:pt>
              </c:strCache>
            </c:strRef>
          </c:tx>
          <c:spPr>
            <a:solidFill>
              <a:schemeClr val="bg1"/>
            </a:solidFill>
            <a:ln>
              <a:noFill/>
            </a:ln>
            <a:effectLst/>
          </c:spPr>
          <c:invertIfNegative val="0"/>
          <c:dPt>
            <c:idx val="0"/>
            <c:invertIfNegative val="0"/>
            <c:bubble3D val="0"/>
            <c:extLst>
              <c:ext xmlns:c16="http://schemas.microsoft.com/office/drawing/2014/chart" uri="{C3380CC4-5D6E-409C-BE32-E72D297353CC}">
                <c16:uniqueId val="{00000002-9B15-48E1-BFE9-967643D77B7C}"/>
              </c:ext>
            </c:extLst>
          </c:dPt>
          <c:dLbls>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 xmlns:c16="http://schemas.microsoft.com/office/drawing/2014/chart" uri="{C3380CC4-5D6E-409C-BE32-E72D297353CC}">
                  <c16:uniqueId val="{00000002-9B15-48E1-BFE9-967643D77B7C}"/>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DailyPV!$A$4</c:f>
              <c:strCache>
                <c:ptCount val="1"/>
                <c:pt idx="0">
                  <c:v>Total</c:v>
                </c:pt>
              </c:strCache>
            </c:strRef>
          </c:cat>
          <c:val>
            <c:numRef>
              <c:f>DailyPV!$A$4</c:f>
              <c:numCache>
                <c:formatCode>General</c:formatCode>
                <c:ptCount val="1"/>
                <c:pt idx="0">
                  <c:v>621150</c:v>
                </c:pt>
              </c:numCache>
            </c:numRef>
          </c:val>
          <c:extLst>
            <c:ext xmlns:c16="http://schemas.microsoft.com/office/drawing/2014/chart" uri="{C3380CC4-5D6E-409C-BE32-E72D297353CC}">
              <c16:uniqueId val="{00000000-9B15-48E1-BFE9-967643D77B7C}"/>
            </c:ext>
          </c:extLst>
        </c:ser>
        <c:dLbls>
          <c:dLblPos val="ctr"/>
          <c:showLegendKey val="0"/>
          <c:showVal val="1"/>
          <c:showCatName val="0"/>
          <c:showSerName val="0"/>
          <c:showPercent val="0"/>
          <c:showBubbleSize val="0"/>
        </c:dLbls>
        <c:gapWidth val="219"/>
        <c:overlap val="-27"/>
        <c:axId val="1573931407"/>
        <c:axId val="1573931887"/>
      </c:barChart>
      <c:catAx>
        <c:axId val="1573931407"/>
        <c:scaling>
          <c:orientation val="minMax"/>
        </c:scaling>
        <c:delete val="1"/>
        <c:axPos val="b"/>
        <c:numFmt formatCode="General" sourceLinked="1"/>
        <c:majorTickMark val="none"/>
        <c:minorTickMark val="none"/>
        <c:tickLblPos val="nextTo"/>
        <c:crossAx val="1573931887"/>
        <c:crosses val="autoZero"/>
        <c:auto val="1"/>
        <c:lblAlgn val="ctr"/>
        <c:lblOffset val="100"/>
        <c:noMultiLvlLbl val="0"/>
      </c:catAx>
      <c:valAx>
        <c:axId val="1573931887"/>
        <c:scaling>
          <c:orientation val="minMax"/>
        </c:scaling>
        <c:delete val="1"/>
        <c:axPos val="l"/>
        <c:numFmt formatCode="General" sourceLinked="1"/>
        <c:majorTickMark val="none"/>
        <c:minorTickMark val="none"/>
        <c:tickLblPos val="nextTo"/>
        <c:crossAx val="15739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DailyPV!$B$9</c:f>
              <c:strCache>
                <c:ptCount val="1"/>
                <c:pt idx="0">
                  <c:v>RideCount</c:v>
                </c:pt>
              </c:strCache>
            </c:strRef>
          </c:tx>
          <c:spPr>
            <a:ln w="28575" cap="rnd">
              <a:solidFill>
                <a:schemeClr val="accent1"/>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DailyPV!$B$10:$B$40</c:f>
              <c:numCache>
                <c:formatCode>General</c:formatCode>
                <c:ptCount val="30"/>
                <c:pt idx="0">
                  <c:v>20958</c:v>
                </c:pt>
                <c:pt idx="1">
                  <c:v>20617</c:v>
                </c:pt>
                <c:pt idx="2">
                  <c:v>19491</c:v>
                </c:pt>
                <c:pt idx="3">
                  <c:v>23347</c:v>
                </c:pt>
                <c:pt idx="4">
                  <c:v>28158</c:v>
                </c:pt>
                <c:pt idx="5">
                  <c:v>24786</c:v>
                </c:pt>
                <c:pt idx="6">
                  <c:v>15904</c:v>
                </c:pt>
                <c:pt idx="7">
                  <c:v>20167</c:v>
                </c:pt>
                <c:pt idx="8">
                  <c:v>20770</c:v>
                </c:pt>
                <c:pt idx="9">
                  <c:v>22116</c:v>
                </c:pt>
                <c:pt idx="10">
                  <c:v>28074</c:v>
                </c:pt>
                <c:pt idx="11">
                  <c:v>22788</c:v>
                </c:pt>
                <c:pt idx="12">
                  <c:v>17766</c:v>
                </c:pt>
                <c:pt idx="13">
                  <c:v>19359</c:v>
                </c:pt>
                <c:pt idx="14">
                  <c:v>20848</c:v>
                </c:pt>
                <c:pt idx="15">
                  <c:v>22395</c:v>
                </c:pt>
                <c:pt idx="16">
                  <c:v>21727</c:v>
                </c:pt>
                <c:pt idx="17">
                  <c:v>27347</c:v>
                </c:pt>
                <c:pt idx="18">
                  <c:v>23476</c:v>
                </c:pt>
                <c:pt idx="19">
                  <c:v>15968</c:v>
                </c:pt>
                <c:pt idx="20">
                  <c:v>14458</c:v>
                </c:pt>
                <c:pt idx="21">
                  <c:v>13638</c:v>
                </c:pt>
                <c:pt idx="22">
                  <c:v>16652</c:v>
                </c:pt>
                <c:pt idx="23">
                  <c:v>19825</c:v>
                </c:pt>
                <c:pt idx="24">
                  <c:v>24884</c:v>
                </c:pt>
                <c:pt idx="25">
                  <c:v>21716</c:v>
                </c:pt>
                <c:pt idx="26">
                  <c:v>17256</c:v>
                </c:pt>
                <c:pt idx="27">
                  <c:v>18275</c:v>
                </c:pt>
                <c:pt idx="28">
                  <c:v>19156</c:v>
                </c:pt>
                <c:pt idx="29">
                  <c:v>19228</c:v>
                </c:pt>
              </c:numCache>
            </c:numRef>
          </c:val>
          <c:smooth val="0"/>
          <c:extLst>
            <c:ext xmlns:c16="http://schemas.microsoft.com/office/drawing/2014/chart" uri="{C3380CC4-5D6E-409C-BE32-E72D297353CC}">
              <c16:uniqueId val="{00000000-1DD4-4EF7-9A32-02EFED528D10}"/>
            </c:ext>
          </c:extLst>
        </c:ser>
        <c:ser>
          <c:idx val="1"/>
          <c:order val="1"/>
          <c:tx>
            <c:strRef>
              <c:f>DailyPV!$C$9</c:f>
              <c:strCache>
                <c:ptCount val="1"/>
                <c:pt idx="0">
                  <c:v>CasualCount</c:v>
                </c:pt>
              </c:strCache>
            </c:strRef>
          </c:tx>
          <c:spPr>
            <a:ln w="28575" cap="rnd">
              <a:solidFill>
                <a:schemeClr val="accent2"/>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DailyPV!$C$10:$C$40</c:f>
              <c:numCache>
                <c:formatCode>General</c:formatCode>
                <c:ptCount val="30"/>
                <c:pt idx="0">
                  <c:v>8240</c:v>
                </c:pt>
                <c:pt idx="1">
                  <c:v>8770</c:v>
                </c:pt>
                <c:pt idx="2">
                  <c:v>9490</c:v>
                </c:pt>
                <c:pt idx="3">
                  <c:v>14518</c:v>
                </c:pt>
                <c:pt idx="4">
                  <c:v>18801</c:v>
                </c:pt>
                <c:pt idx="5">
                  <c:v>15415</c:v>
                </c:pt>
                <c:pt idx="6">
                  <c:v>6039</c:v>
                </c:pt>
                <c:pt idx="7">
                  <c:v>7721</c:v>
                </c:pt>
                <c:pt idx="8">
                  <c:v>8285</c:v>
                </c:pt>
                <c:pt idx="9">
                  <c:v>10255</c:v>
                </c:pt>
                <c:pt idx="10">
                  <c:v>16784</c:v>
                </c:pt>
                <c:pt idx="11">
                  <c:v>12757</c:v>
                </c:pt>
                <c:pt idx="12">
                  <c:v>6908</c:v>
                </c:pt>
                <c:pt idx="13">
                  <c:v>7118</c:v>
                </c:pt>
                <c:pt idx="14">
                  <c:v>8211</c:v>
                </c:pt>
                <c:pt idx="15">
                  <c:v>9788</c:v>
                </c:pt>
                <c:pt idx="16">
                  <c:v>10709</c:v>
                </c:pt>
                <c:pt idx="17">
                  <c:v>16438</c:v>
                </c:pt>
                <c:pt idx="18">
                  <c:v>13762</c:v>
                </c:pt>
                <c:pt idx="19">
                  <c:v>6068</c:v>
                </c:pt>
                <c:pt idx="20">
                  <c:v>4851</c:v>
                </c:pt>
                <c:pt idx="21">
                  <c:v>4324</c:v>
                </c:pt>
                <c:pt idx="22">
                  <c:v>5773</c:v>
                </c:pt>
                <c:pt idx="23">
                  <c:v>8927</c:v>
                </c:pt>
                <c:pt idx="24">
                  <c:v>14516</c:v>
                </c:pt>
                <c:pt idx="25">
                  <c:v>12130</c:v>
                </c:pt>
                <c:pt idx="26">
                  <c:v>6365</c:v>
                </c:pt>
                <c:pt idx="27">
                  <c:v>6315</c:v>
                </c:pt>
                <c:pt idx="28">
                  <c:v>6711</c:v>
                </c:pt>
                <c:pt idx="29">
                  <c:v>6942</c:v>
                </c:pt>
              </c:numCache>
            </c:numRef>
          </c:val>
          <c:smooth val="0"/>
          <c:extLst>
            <c:ext xmlns:c16="http://schemas.microsoft.com/office/drawing/2014/chart" uri="{C3380CC4-5D6E-409C-BE32-E72D297353CC}">
              <c16:uniqueId val="{00000001-1DD4-4EF7-9A32-02EFED528D10}"/>
            </c:ext>
          </c:extLst>
        </c:ser>
        <c:ser>
          <c:idx val="2"/>
          <c:order val="2"/>
          <c:tx>
            <c:strRef>
              <c:f>DailyPV!$D$9</c:f>
              <c:strCache>
                <c:ptCount val="1"/>
                <c:pt idx="0">
                  <c:v>MemberCount</c:v>
                </c:pt>
              </c:strCache>
            </c:strRef>
          </c:tx>
          <c:spPr>
            <a:ln w="28575" cap="rnd">
              <a:solidFill>
                <a:schemeClr val="accent3"/>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DailyPV!$D$10:$D$40</c:f>
              <c:numCache>
                <c:formatCode>General</c:formatCode>
                <c:ptCount val="30"/>
                <c:pt idx="0">
                  <c:v>12718</c:v>
                </c:pt>
                <c:pt idx="1">
                  <c:v>11847</c:v>
                </c:pt>
                <c:pt idx="2">
                  <c:v>10001</c:v>
                </c:pt>
                <c:pt idx="3">
                  <c:v>8829</c:v>
                </c:pt>
                <c:pt idx="4">
                  <c:v>9357</c:v>
                </c:pt>
                <c:pt idx="5">
                  <c:v>9371</c:v>
                </c:pt>
                <c:pt idx="6">
                  <c:v>9865</c:v>
                </c:pt>
                <c:pt idx="7">
                  <c:v>12446</c:v>
                </c:pt>
                <c:pt idx="8">
                  <c:v>12485</c:v>
                </c:pt>
                <c:pt idx="9">
                  <c:v>11861</c:v>
                </c:pt>
                <c:pt idx="10">
                  <c:v>11290</c:v>
                </c:pt>
                <c:pt idx="11">
                  <c:v>10031</c:v>
                </c:pt>
                <c:pt idx="12">
                  <c:v>10858</c:v>
                </c:pt>
                <c:pt idx="13">
                  <c:v>12241</c:v>
                </c:pt>
                <c:pt idx="14">
                  <c:v>12637</c:v>
                </c:pt>
                <c:pt idx="15">
                  <c:v>12607</c:v>
                </c:pt>
                <c:pt idx="16">
                  <c:v>11018</c:v>
                </c:pt>
                <c:pt idx="17">
                  <c:v>10909</c:v>
                </c:pt>
                <c:pt idx="18">
                  <c:v>9714</c:v>
                </c:pt>
                <c:pt idx="19">
                  <c:v>9900</c:v>
                </c:pt>
                <c:pt idx="20">
                  <c:v>9607</c:v>
                </c:pt>
                <c:pt idx="21">
                  <c:v>9314</c:v>
                </c:pt>
                <c:pt idx="22">
                  <c:v>10879</c:v>
                </c:pt>
                <c:pt idx="23">
                  <c:v>10898</c:v>
                </c:pt>
                <c:pt idx="24">
                  <c:v>10368</c:v>
                </c:pt>
                <c:pt idx="25">
                  <c:v>9586</c:v>
                </c:pt>
                <c:pt idx="26">
                  <c:v>10891</c:v>
                </c:pt>
                <c:pt idx="27">
                  <c:v>11960</c:v>
                </c:pt>
                <c:pt idx="28">
                  <c:v>12445</c:v>
                </c:pt>
                <c:pt idx="29">
                  <c:v>12286</c:v>
                </c:pt>
              </c:numCache>
            </c:numRef>
          </c:val>
          <c:smooth val="0"/>
          <c:extLst>
            <c:ext xmlns:c16="http://schemas.microsoft.com/office/drawing/2014/chart" uri="{C3380CC4-5D6E-409C-BE32-E72D297353CC}">
              <c16:uniqueId val="{00000002-1DD4-4EF7-9A32-02EFED528D10}"/>
            </c:ext>
          </c:extLst>
        </c:ser>
        <c:dLbls>
          <c:showLegendKey val="0"/>
          <c:showVal val="0"/>
          <c:showCatName val="0"/>
          <c:showSerName val="0"/>
          <c:showPercent val="0"/>
          <c:showBubbleSize val="0"/>
        </c:dLbls>
        <c:smooth val="0"/>
        <c:axId val="638396015"/>
        <c:axId val="638412815"/>
      </c:lineChart>
      <c:catAx>
        <c:axId val="63839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12815"/>
        <c:crosses val="autoZero"/>
        <c:auto val="1"/>
        <c:lblAlgn val="ctr"/>
        <c:lblOffset val="100"/>
        <c:noMultiLvlLbl val="0"/>
      </c:catAx>
      <c:valAx>
        <c:axId val="63841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DailyPV!$G$24</c:f>
              <c:strCache>
                <c:ptCount val="1"/>
                <c:pt idx="0">
                  <c:v>RideCount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DailyPV!$G$25:$G$28</c:f>
              <c:numCache>
                <c:formatCode>#,##0,"K"</c:formatCode>
                <c:ptCount val="3"/>
                <c:pt idx="0">
                  <c:v>692321</c:v>
                </c:pt>
                <c:pt idx="1">
                  <c:v>674409</c:v>
                </c:pt>
                <c:pt idx="2">
                  <c:v>621150</c:v>
                </c:pt>
              </c:numCache>
            </c:numRef>
          </c:val>
          <c:extLst>
            <c:ext xmlns:c16="http://schemas.microsoft.com/office/drawing/2014/chart" uri="{C3380CC4-5D6E-409C-BE32-E72D297353CC}">
              <c16:uniqueId val="{00000000-72EF-48C7-9C88-379C3E48475C}"/>
            </c:ext>
          </c:extLst>
        </c:ser>
        <c:ser>
          <c:idx val="1"/>
          <c:order val="1"/>
          <c:tx>
            <c:strRef>
              <c:f>DailyPV!$H$24</c:f>
              <c:strCache>
                <c:ptCount val="1"/>
                <c:pt idx="0">
                  <c:v>CasualCount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DailyPV!$H$25:$H$28</c:f>
              <c:numCache>
                <c:formatCode>#,##0,"K"</c:formatCode>
                <c:ptCount val="3"/>
                <c:pt idx="0">
                  <c:v>369415</c:v>
                </c:pt>
                <c:pt idx="1">
                  <c:v>341476</c:v>
                </c:pt>
                <c:pt idx="2">
                  <c:v>292931</c:v>
                </c:pt>
              </c:numCache>
            </c:numRef>
          </c:val>
          <c:extLst>
            <c:ext xmlns:c16="http://schemas.microsoft.com/office/drawing/2014/chart" uri="{C3380CC4-5D6E-409C-BE32-E72D297353CC}">
              <c16:uniqueId val="{00000001-72EF-48C7-9C88-379C3E48475C}"/>
            </c:ext>
          </c:extLst>
        </c:ser>
        <c:ser>
          <c:idx val="2"/>
          <c:order val="2"/>
          <c:tx>
            <c:strRef>
              <c:f>DailyPV!$I$24</c:f>
              <c:strCache>
                <c:ptCount val="1"/>
                <c:pt idx="0">
                  <c:v>MemberCount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DailyPV!$I$25:$I$28</c:f>
              <c:numCache>
                <c:formatCode>#,##0,"K"</c:formatCode>
                <c:ptCount val="3"/>
                <c:pt idx="0">
                  <c:v>322906</c:v>
                </c:pt>
                <c:pt idx="1">
                  <c:v>332933</c:v>
                </c:pt>
                <c:pt idx="2">
                  <c:v>328219</c:v>
                </c:pt>
              </c:numCache>
            </c:numRef>
          </c:val>
          <c:extLst>
            <c:ext xmlns:c16="http://schemas.microsoft.com/office/drawing/2014/chart" uri="{C3380CC4-5D6E-409C-BE32-E72D297353CC}">
              <c16:uniqueId val="{00000002-72EF-48C7-9C88-379C3E48475C}"/>
            </c:ext>
          </c:extLst>
        </c:ser>
        <c:dLbls>
          <c:dLblPos val="ctr"/>
          <c:showLegendKey val="0"/>
          <c:showVal val="1"/>
          <c:showCatName val="0"/>
          <c:showSerName val="0"/>
          <c:showPercent val="0"/>
          <c:showBubbleSize val="0"/>
        </c:dLbls>
        <c:gapWidth val="150"/>
        <c:overlap val="100"/>
        <c:axId val="638449295"/>
        <c:axId val="638444495"/>
      </c:barChart>
      <c:catAx>
        <c:axId val="6384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44495"/>
        <c:crosses val="autoZero"/>
        <c:auto val="1"/>
        <c:lblAlgn val="ctr"/>
        <c:lblOffset val="100"/>
        <c:noMultiLvlLbl val="0"/>
      </c:catAx>
      <c:valAx>
        <c:axId val="6384444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4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[DashBoard_Project2_July_Sep.xlsx]weekly_data (2)!PivotTable10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a:t>
            </a:r>
            <a:r>
              <a:rPr lang="en-US" baseline="0"/>
              <a:t> Summary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'weekly_data (2)'!$H$2</c:f>
              <c:strCache>
                <c:ptCount val="1"/>
                <c:pt idx="0">
                  <c:v>RideCount</c:v>
                </c:pt>
              </c:strCache>
            </c:strRef>
          </c:tx>
          <c:spPr>
            <a:solidFill>
              <a:schemeClr val="accent1"/>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(2)'!$H$3:$H$10</c:f>
              <c:numCache>
                <c:formatCode>General</c:formatCode>
                <c:ptCount val="7"/>
                <c:pt idx="0">
                  <c:v>358261</c:v>
                </c:pt>
                <c:pt idx="1">
                  <c:v>310263</c:v>
                </c:pt>
                <c:pt idx="2">
                  <c:v>289273</c:v>
                </c:pt>
                <c:pt idx="3">
                  <c:v>286273</c:v>
                </c:pt>
                <c:pt idx="4">
                  <c:v>255495</c:v>
                </c:pt>
                <c:pt idx="5">
                  <c:v>246925</c:v>
                </c:pt>
                <c:pt idx="6">
                  <c:v>241390</c:v>
                </c:pt>
              </c:numCache>
            </c:numRef>
          </c:val>
          <c:extLst>
            <c:ext xmlns:c16="http://schemas.microsoft.com/office/drawing/2014/chart" uri="{C3380CC4-5D6E-409C-BE32-E72D297353CC}">
              <c16:uniqueId val="{00000000-7C41-4539-9D0A-BA9F43EC7D30}"/>
            </c:ext>
          </c:extLst>
        </c:ser>
        <c:ser>
          <c:idx val="1"/>
          <c:order val="1"/>
          <c:tx>
            <c:strRef>
              <c:f>'weekly_data (2)'!$I$2</c:f>
              <c:strCache>
                <c:ptCount val="1"/>
                <c:pt idx="0">
                  <c:v>CasualCount</c:v>
                </c:pt>
              </c:strCache>
            </c:strRef>
          </c:tx>
          <c:spPr>
            <a:solidFill>
              <a:schemeClr val="accent2"/>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(2)'!$I$3:$I$10</c:f>
              <c:numCache>
                <c:formatCode>General</c:formatCode>
                <c:ptCount val="7"/>
                <c:pt idx="0">
                  <c:v>223075</c:v>
                </c:pt>
                <c:pt idx="1">
                  <c:v>190394</c:v>
                </c:pt>
                <c:pt idx="2">
                  <c:v>146821</c:v>
                </c:pt>
                <c:pt idx="3">
                  <c:v>124385</c:v>
                </c:pt>
                <c:pt idx="4">
                  <c:v>105469</c:v>
                </c:pt>
                <c:pt idx="5">
                  <c:v>114989</c:v>
                </c:pt>
                <c:pt idx="6">
                  <c:v>98689</c:v>
                </c:pt>
              </c:numCache>
            </c:numRef>
          </c:val>
          <c:extLst>
            <c:ext xmlns:c16="http://schemas.microsoft.com/office/drawing/2014/chart" uri="{C3380CC4-5D6E-409C-BE32-E72D297353CC}">
              <c16:uniqueId val="{00000001-7C41-4539-9D0A-BA9F43EC7D30}"/>
            </c:ext>
          </c:extLst>
        </c:ser>
        <c:ser>
          <c:idx val="2"/>
          <c:order val="2"/>
          <c:tx>
            <c:strRef>
              <c:f>'weekly_data (2)'!$J$2</c:f>
              <c:strCache>
                <c:ptCount val="1"/>
                <c:pt idx="0">
                  <c:v>MemberCount</c:v>
                </c:pt>
              </c:strCache>
            </c:strRef>
          </c:tx>
          <c:spPr>
            <a:solidFill>
              <a:schemeClr val="accent3"/>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(2)'!$J$3:$J$10</c:f>
              <c:numCache>
                <c:formatCode>General</c:formatCode>
                <c:ptCount val="7"/>
                <c:pt idx="0">
                  <c:v>135186</c:v>
                </c:pt>
                <c:pt idx="1">
                  <c:v>119869</c:v>
                </c:pt>
                <c:pt idx="2">
                  <c:v>142452</c:v>
                </c:pt>
                <c:pt idx="3">
                  <c:v>161888</c:v>
                </c:pt>
                <c:pt idx="4">
                  <c:v>150026</c:v>
                </c:pt>
                <c:pt idx="5">
                  <c:v>131936</c:v>
                </c:pt>
                <c:pt idx="6">
                  <c:v>142701</c:v>
                </c:pt>
              </c:numCache>
            </c:numRef>
          </c:val>
          <c:extLst>
            <c:ext xmlns:c16="http://schemas.microsoft.com/office/drawing/2014/chart" uri="{C3380CC4-5D6E-409C-BE32-E72D297353CC}">
              <c16:uniqueId val="{00000002-7C41-4539-9D0A-BA9F43EC7D30}"/>
            </c:ext>
          </c:extLst>
        </c:ser>
        <c:dLbls>
          <c:showLegendKey val="0"/>
          <c:showVal val="0"/>
          <c:showCatName val="0"/>
          <c:showSerName val="0"/>
          <c:showPercent val="0"/>
          <c:showBubbleSize val="0"/>
        </c:dLbls>
        <c:gapWidth val="219"/>
        <c:overlap val="-27"/>
        <c:axId val="830189983"/>
        <c:axId val="830190463"/>
      </c:barChart>
      <c:catAx>
        <c:axId val="8301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90463"/>
        <c:crosses val="autoZero"/>
        <c:auto val="1"/>
        <c:lblAlgn val="ctr"/>
        <c:lblOffset val="100"/>
        <c:noMultiLvlLbl val="0"/>
      </c:catAx>
      <c:valAx>
        <c:axId val="83019046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8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Ride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Lst>
        </c:dLbl>
      </c:pivotFmt>
    </c:pivotFmts>
    <c:plotArea>
      <c:layout>
        <c:manualLayout>
          <c:layoutTarget val="inner"/>
          <c:xMode val="edge"/>
          <c:yMode val="edge"/>
          <c:x val="7.8168495913919528E-2"/>
          <c:y val="0.28859972697059105"/>
          <c:w val="0.84366300817216089"/>
          <c:h val="0.60448102393799585"/>
        </c:manualLayout>
      </c:layout>
      <c:barChart>
        <c:barDir val="col"/>
        <c:grouping val="clustered"/>
        <c:varyColors val="0"/>
        <c:ser>
          <c:idx val="0"/>
          <c:order val="0"/>
          <c:tx>
            <c:strRef>
              <c:f>DailyPV!$A$3</c:f>
              <c:strCache>
                <c:ptCount val="1"/>
                <c:pt idx="0">
                  <c:v>Total</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6C94-472B-833F-32A38B269C71}"/>
              </c:ext>
            </c:extLst>
          </c:dPt>
          <c:dLbls>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2245712943387365"/>
                      <c:h val="0.40441801917617443"/>
                    </c:manualLayout>
                  </c15:layout>
                </c:ext>
                <c:ext xmlns:c16="http://schemas.microsoft.com/office/drawing/2014/chart" uri="{C3380CC4-5D6E-409C-BE32-E72D297353CC}">
                  <c16:uniqueId val="{00000000-6C94-472B-833F-32A38B269C7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DailyPV!$A$4</c:f>
              <c:strCache>
                <c:ptCount val="1"/>
                <c:pt idx="0">
                  <c:v>Total</c:v>
                </c:pt>
              </c:strCache>
            </c:strRef>
          </c:cat>
          <c:val>
            <c:numRef>
              <c:f>DailyPV!$A$4</c:f>
              <c:numCache>
                <c:formatCode>General</c:formatCode>
                <c:ptCount val="1"/>
                <c:pt idx="0">
                  <c:v>621150</c:v>
                </c:pt>
              </c:numCache>
            </c:numRef>
          </c:val>
          <c:extLst>
            <c:ext xmlns:c16="http://schemas.microsoft.com/office/drawing/2014/chart" uri="{C3380CC4-5D6E-409C-BE32-E72D297353CC}">
              <c16:uniqueId val="{00000001-6C94-472B-833F-32A38B269C71}"/>
            </c:ext>
          </c:extLst>
        </c:ser>
        <c:dLbls>
          <c:dLblPos val="ctr"/>
          <c:showLegendKey val="0"/>
          <c:showVal val="1"/>
          <c:showCatName val="0"/>
          <c:showSerName val="0"/>
          <c:showPercent val="0"/>
          <c:showBubbleSize val="0"/>
        </c:dLbls>
        <c:gapWidth val="219"/>
        <c:overlap val="-27"/>
        <c:axId val="1573931407"/>
        <c:axId val="1573931887"/>
      </c:barChart>
      <c:catAx>
        <c:axId val="1573931407"/>
        <c:scaling>
          <c:orientation val="minMax"/>
        </c:scaling>
        <c:delete val="1"/>
        <c:axPos val="b"/>
        <c:numFmt formatCode="General" sourceLinked="1"/>
        <c:majorTickMark val="none"/>
        <c:minorTickMark val="none"/>
        <c:tickLblPos val="nextTo"/>
        <c:crossAx val="1573931887"/>
        <c:crosses val="autoZero"/>
        <c:auto val="1"/>
        <c:lblAlgn val="ctr"/>
        <c:lblOffset val="100"/>
        <c:noMultiLvlLbl val="0"/>
      </c:catAx>
      <c:valAx>
        <c:axId val="1573931887"/>
        <c:scaling>
          <c:orientation val="minMax"/>
        </c:scaling>
        <c:delete val="1"/>
        <c:axPos val="l"/>
        <c:numFmt formatCode="General" sourceLinked="1"/>
        <c:majorTickMark val="none"/>
        <c:minorTickMark val="none"/>
        <c:tickLblPos val="nextTo"/>
        <c:crossAx val="15739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Summary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DailyPV!$B$9</c:f>
              <c:strCache>
                <c:ptCount val="1"/>
                <c:pt idx="0">
                  <c:v>RideCount</c:v>
                </c:pt>
              </c:strCache>
            </c:strRef>
          </c:tx>
          <c:spPr>
            <a:ln w="28575" cap="rnd">
              <a:solidFill>
                <a:schemeClr val="accent1"/>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DailyPV!$B$10:$B$40</c:f>
              <c:numCache>
                <c:formatCode>General</c:formatCode>
                <c:ptCount val="30"/>
                <c:pt idx="0">
                  <c:v>20958</c:v>
                </c:pt>
                <c:pt idx="1">
                  <c:v>20617</c:v>
                </c:pt>
                <c:pt idx="2">
                  <c:v>19491</c:v>
                </c:pt>
                <c:pt idx="3">
                  <c:v>23347</c:v>
                </c:pt>
                <c:pt idx="4">
                  <c:v>28158</c:v>
                </c:pt>
                <c:pt idx="5">
                  <c:v>24786</c:v>
                </c:pt>
                <c:pt idx="6">
                  <c:v>15904</c:v>
                </c:pt>
                <c:pt idx="7">
                  <c:v>20167</c:v>
                </c:pt>
                <c:pt idx="8">
                  <c:v>20770</c:v>
                </c:pt>
                <c:pt idx="9">
                  <c:v>22116</c:v>
                </c:pt>
                <c:pt idx="10">
                  <c:v>28074</c:v>
                </c:pt>
                <c:pt idx="11">
                  <c:v>22788</c:v>
                </c:pt>
                <c:pt idx="12">
                  <c:v>17766</c:v>
                </c:pt>
                <c:pt idx="13">
                  <c:v>19359</c:v>
                </c:pt>
                <c:pt idx="14">
                  <c:v>20848</c:v>
                </c:pt>
                <c:pt idx="15">
                  <c:v>22395</c:v>
                </c:pt>
                <c:pt idx="16">
                  <c:v>21727</c:v>
                </c:pt>
                <c:pt idx="17">
                  <c:v>27347</c:v>
                </c:pt>
                <c:pt idx="18">
                  <c:v>23476</c:v>
                </c:pt>
                <c:pt idx="19">
                  <c:v>15968</c:v>
                </c:pt>
                <c:pt idx="20">
                  <c:v>14458</c:v>
                </c:pt>
                <c:pt idx="21">
                  <c:v>13638</c:v>
                </c:pt>
                <c:pt idx="22">
                  <c:v>16652</c:v>
                </c:pt>
                <c:pt idx="23">
                  <c:v>19825</c:v>
                </c:pt>
                <c:pt idx="24">
                  <c:v>24884</c:v>
                </c:pt>
                <c:pt idx="25">
                  <c:v>21716</c:v>
                </c:pt>
                <c:pt idx="26">
                  <c:v>17256</c:v>
                </c:pt>
                <c:pt idx="27">
                  <c:v>18275</c:v>
                </c:pt>
                <c:pt idx="28">
                  <c:v>19156</c:v>
                </c:pt>
                <c:pt idx="29">
                  <c:v>19228</c:v>
                </c:pt>
              </c:numCache>
            </c:numRef>
          </c:val>
          <c:smooth val="0"/>
          <c:extLst>
            <c:ext xmlns:c16="http://schemas.microsoft.com/office/drawing/2014/chart" uri="{C3380CC4-5D6E-409C-BE32-E72D297353CC}">
              <c16:uniqueId val="{00000000-7846-4698-9DBD-714F074393AE}"/>
            </c:ext>
          </c:extLst>
        </c:ser>
        <c:ser>
          <c:idx val="1"/>
          <c:order val="1"/>
          <c:tx>
            <c:strRef>
              <c:f>DailyPV!$C$9</c:f>
              <c:strCache>
                <c:ptCount val="1"/>
                <c:pt idx="0">
                  <c:v>CasualCount</c:v>
                </c:pt>
              </c:strCache>
            </c:strRef>
          </c:tx>
          <c:spPr>
            <a:ln w="28575" cap="rnd">
              <a:solidFill>
                <a:schemeClr val="accent2"/>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DailyPV!$C$10:$C$40</c:f>
              <c:numCache>
                <c:formatCode>General</c:formatCode>
                <c:ptCount val="30"/>
                <c:pt idx="0">
                  <c:v>8240</c:v>
                </c:pt>
                <c:pt idx="1">
                  <c:v>8770</c:v>
                </c:pt>
                <c:pt idx="2">
                  <c:v>9490</c:v>
                </c:pt>
                <c:pt idx="3">
                  <c:v>14518</c:v>
                </c:pt>
                <c:pt idx="4">
                  <c:v>18801</c:v>
                </c:pt>
                <c:pt idx="5">
                  <c:v>15415</c:v>
                </c:pt>
                <c:pt idx="6">
                  <c:v>6039</c:v>
                </c:pt>
                <c:pt idx="7">
                  <c:v>7721</c:v>
                </c:pt>
                <c:pt idx="8">
                  <c:v>8285</c:v>
                </c:pt>
                <c:pt idx="9">
                  <c:v>10255</c:v>
                </c:pt>
                <c:pt idx="10">
                  <c:v>16784</c:v>
                </c:pt>
                <c:pt idx="11">
                  <c:v>12757</c:v>
                </c:pt>
                <c:pt idx="12">
                  <c:v>6908</c:v>
                </c:pt>
                <c:pt idx="13">
                  <c:v>7118</c:v>
                </c:pt>
                <c:pt idx="14">
                  <c:v>8211</c:v>
                </c:pt>
                <c:pt idx="15">
                  <c:v>9788</c:v>
                </c:pt>
                <c:pt idx="16">
                  <c:v>10709</c:v>
                </c:pt>
                <c:pt idx="17">
                  <c:v>16438</c:v>
                </c:pt>
                <c:pt idx="18">
                  <c:v>13762</c:v>
                </c:pt>
                <c:pt idx="19">
                  <c:v>6068</c:v>
                </c:pt>
                <c:pt idx="20">
                  <c:v>4851</c:v>
                </c:pt>
                <c:pt idx="21">
                  <c:v>4324</c:v>
                </c:pt>
                <c:pt idx="22">
                  <c:v>5773</c:v>
                </c:pt>
                <c:pt idx="23">
                  <c:v>8927</c:v>
                </c:pt>
                <c:pt idx="24">
                  <c:v>14516</c:v>
                </c:pt>
                <c:pt idx="25">
                  <c:v>12130</c:v>
                </c:pt>
                <c:pt idx="26">
                  <c:v>6365</c:v>
                </c:pt>
                <c:pt idx="27">
                  <c:v>6315</c:v>
                </c:pt>
                <c:pt idx="28">
                  <c:v>6711</c:v>
                </c:pt>
                <c:pt idx="29">
                  <c:v>6942</c:v>
                </c:pt>
              </c:numCache>
            </c:numRef>
          </c:val>
          <c:smooth val="0"/>
          <c:extLst>
            <c:ext xmlns:c16="http://schemas.microsoft.com/office/drawing/2014/chart" uri="{C3380CC4-5D6E-409C-BE32-E72D297353CC}">
              <c16:uniqueId val="{00000001-7846-4698-9DBD-714F074393AE}"/>
            </c:ext>
          </c:extLst>
        </c:ser>
        <c:ser>
          <c:idx val="2"/>
          <c:order val="2"/>
          <c:tx>
            <c:strRef>
              <c:f>DailyPV!$D$9</c:f>
              <c:strCache>
                <c:ptCount val="1"/>
                <c:pt idx="0">
                  <c:v>MemberCount</c:v>
                </c:pt>
              </c:strCache>
            </c:strRef>
          </c:tx>
          <c:spPr>
            <a:ln w="28575" cap="rnd">
              <a:solidFill>
                <a:schemeClr val="accent3"/>
              </a:solidFill>
              <a:round/>
            </a:ln>
            <a:effectLst/>
          </c:spPr>
          <c:marker>
            <c:symbol val="none"/>
          </c:marker>
          <c:cat>
            <c:strRef>
              <c:f>DailyPV!$A$10:$A$40</c:f>
              <c:strCache>
                <c:ptCount val="30"/>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DailyPV!$D$10:$D$40</c:f>
              <c:numCache>
                <c:formatCode>General</c:formatCode>
                <c:ptCount val="30"/>
                <c:pt idx="0">
                  <c:v>12718</c:v>
                </c:pt>
                <c:pt idx="1">
                  <c:v>11847</c:v>
                </c:pt>
                <c:pt idx="2">
                  <c:v>10001</c:v>
                </c:pt>
                <c:pt idx="3">
                  <c:v>8829</c:v>
                </c:pt>
                <c:pt idx="4">
                  <c:v>9357</c:v>
                </c:pt>
                <c:pt idx="5">
                  <c:v>9371</c:v>
                </c:pt>
                <c:pt idx="6">
                  <c:v>9865</c:v>
                </c:pt>
                <c:pt idx="7">
                  <c:v>12446</c:v>
                </c:pt>
                <c:pt idx="8">
                  <c:v>12485</c:v>
                </c:pt>
                <c:pt idx="9">
                  <c:v>11861</c:v>
                </c:pt>
                <c:pt idx="10">
                  <c:v>11290</c:v>
                </c:pt>
                <c:pt idx="11">
                  <c:v>10031</c:v>
                </c:pt>
                <c:pt idx="12">
                  <c:v>10858</c:v>
                </c:pt>
                <c:pt idx="13">
                  <c:v>12241</c:v>
                </c:pt>
                <c:pt idx="14">
                  <c:v>12637</c:v>
                </c:pt>
                <c:pt idx="15">
                  <c:v>12607</c:v>
                </c:pt>
                <c:pt idx="16">
                  <c:v>11018</c:v>
                </c:pt>
                <c:pt idx="17">
                  <c:v>10909</c:v>
                </c:pt>
                <c:pt idx="18">
                  <c:v>9714</c:v>
                </c:pt>
                <c:pt idx="19">
                  <c:v>9900</c:v>
                </c:pt>
                <c:pt idx="20">
                  <c:v>9607</c:v>
                </c:pt>
                <c:pt idx="21">
                  <c:v>9314</c:v>
                </c:pt>
                <c:pt idx="22">
                  <c:v>10879</c:v>
                </c:pt>
                <c:pt idx="23">
                  <c:v>10898</c:v>
                </c:pt>
                <c:pt idx="24">
                  <c:v>10368</c:v>
                </c:pt>
                <c:pt idx="25">
                  <c:v>9586</c:v>
                </c:pt>
                <c:pt idx="26">
                  <c:v>10891</c:v>
                </c:pt>
                <c:pt idx="27">
                  <c:v>11960</c:v>
                </c:pt>
                <c:pt idx="28">
                  <c:v>12445</c:v>
                </c:pt>
                <c:pt idx="29">
                  <c:v>12286</c:v>
                </c:pt>
              </c:numCache>
            </c:numRef>
          </c:val>
          <c:smooth val="0"/>
          <c:extLst>
            <c:ext xmlns:c16="http://schemas.microsoft.com/office/drawing/2014/chart" uri="{C3380CC4-5D6E-409C-BE32-E72D297353CC}">
              <c16:uniqueId val="{00000002-7846-4698-9DBD-714F074393AE}"/>
            </c:ext>
          </c:extLst>
        </c:ser>
        <c:dLbls>
          <c:showLegendKey val="0"/>
          <c:showVal val="0"/>
          <c:showCatName val="0"/>
          <c:showSerName val="0"/>
          <c:showPercent val="0"/>
          <c:showBubbleSize val="0"/>
        </c:dLbls>
        <c:smooth val="0"/>
        <c:axId val="638396015"/>
        <c:axId val="638412815"/>
      </c:lineChart>
      <c:catAx>
        <c:axId val="63839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12815"/>
        <c:crosses val="autoZero"/>
        <c:auto val="1"/>
        <c:lblAlgn val="ctr"/>
        <c:lblOffset val="100"/>
        <c:noMultiLvlLbl val="0"/>
      </c:catAx>
      <c:valAx>
        <c:axId val="63841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9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[DashBoard_Project2_July_Sep.xlsx]DailyPV!PivotTable3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Monthly</a:t>
            </a:r>
            <a:r>
              <a:rPr lang="en-US" sz="1200" baseline="0"/>
              <a:t> Summary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DailyPV!$G$24</c:f>
              <c:strCache>
                <c:ptCount val="1"/>
                <c:pt idx="0">
                  <c:v>RideCount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DailyPV!$G$25:$G$28</c:f>
              <c:numCache>
                <c:formatCode>#,##0,"K"</c:formatCode>
                <c:ptCount val="3"/>
                <c:pt idx="0">
                  <c:v>692321</c:v>
                </c:pt>
                <c:pt idx="1">
                  <c:v>674409</c:v>
                </c:pt>
                <c:pt idx="2">
                  <c:v>621150</c:v>
                </c:pt>
              </c:numCache>
            </c:numRef>
          </c:val>
          <c:extLst>
            <c:ext xmlns:c16="http://schemas.microsoft.com/office/drawing/2014/chart" uri="{C3380CC4-5D6E-409C-BE32-E72D297353CC}">
              <c16:uniqueId val="{00000000-2B00-4194-B2DF-44E5EE0D6781}"/>
            </c:ext>
          </c:extLst>
        </c:ser>
        <c:ser>
          <c:idx val="1"/>
          <c:order val="1"/>
          <c:tx>
            <c:strRef>
              <c:f>DailyPV!$H$24</c:f>
              <c:strCache>
                <c:ptCount val="1"/>
                <c:pt idx="0">
                  <c:v>CasualCount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DailyPV!$H$25:$H$28</c:f>
              <c:numCache>
                <c:formatCode>#,##0,"K"</c:formatCode>
                <c:ptCount val="3"/>
                <c:pt idx="0">
                  <c:v>369415</c:v>
                </c:pt>
                <c:pt idx="1">
                  <c:v>341476</c:v>
                </c:pt>
                <c:pt idx="2">
                  <c:v>292931</c:v>
                </c:pt>
              </c:numCache>
            </c:numRef>
          </c:val>
          <c:extLst>
            <c:ext xmlns:c16="http://schemas.microsoft.com/office/drawing/2014/chart" uri="{C3380CC4-5D6E-409C-BE32-E72D297353CC}">
              <c16:uniqueId val="{00000001-2B00-4194-B2DF-44E5EE0D6781}"/>
            </c:ext>
          </c:extLst>
        </c:ser>
        <c:ser>
          <c:idx val="2"/>
          <c:order val="2"/>
          <c:tx>
            <c:strRef>
              <c:f>DailyPV!$I$24</c:f>
              <c:strCache>
                <c:ptCount val="1"/>
                <c:pt idx="0">
                  <c:v>MemberCount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DailyPV!$F$25:$F$28</c:f>
              <c:strCache>
                <c:ptCount val="3"/>
                <c:pt idx="0">
                  <c:v>Jul</c:v>
                </c:pt>
                <c:pt idx="1">
                  <c:v>Aug</c:v>
                </c:pt>
                <c:pt idx="2">
                  <c:v>Sep</c:v>
                </c:pt>
              </c:strCache>
            </c:strRef>
          </c:cat>
          <c:val>
            <c:numRef>
              <c:f>DailyPV!$I$25:$I$28</c:f>
              <c:numCache>
                <c:formatCode>#,##0,"K"</c:formatCode>
                <c:ptCount val="3"/>
                <c:pt idx="0">
                  <c:v>322906</c:v>
                </c:pt>
                <c:pt idx="1">
                  <c:v>332933</c:v>
                </c:pt>
                <c:pt idx="2">
                  <c:v>328219</c:v>
                </c:pt>
              </c:numCache>
            </c:numRef>
          </c:val>
          <c:extLst>
            <c:ext xmlns:c16="http://schemas.microsoft.com/office/drawing/2014/chart" uri="{C3380CC4-5D6E-409C-BE32-E72D297353CC}">
              <c16:uniqueId val="{00000002-2B00-4194-B2DF-44E5EE0D6781}"/>
            </c:ext>
          </c:extLst>
        </c:ser>
        <c:dLbls>
          <c:dLblPos val="ctr"/>
          <c:showLegendKey val="0"/>
          <c:showVal val="1"/>
          <c:showCatName val="0"/>
          <c:showSerName val="0"/>
          <c:showPercent val="0"/>
          <c:showBubbleSize val="0"/>
        </c:dLbls>
        <c:gapWidth val="150"/>
        <c:overlap val="100"/>
        <c:axId val="638449295"/>
        <c:axId val="638444495"/>
      </c:barChart>
      <c:catAx>
        <c:axId val="63844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44495"/>
        <c:crosses val="autoZero"/>
        <c:auto val="1"/>
        <c:lblAlgn val="ctr"/>
        <c:lblOffset val="100"/>
        <c:noMultiLvlLbl val="0"/>
      </c:catAx>
      <c:valAx>
        <c:axId val="6384444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44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[DashBoard_Project2_July_Sep.xlsx]daily_ave_ride_duration_by_user!PivotTable7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Monthly Average  Duration by User Type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daily_ave_ride_duration_by_user!$F$3</c:f>
              <c:strCache>
                <c:ptCount val="1"/>
                <c:pt idx="0">
                  <c:v>CasualRide_Minutes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daily_ave_ride_duration_by_user!$E$4:$E$7</c:f>
              <c:strCache>
                <c:ptCount val="3"/>
                <c:pt idx="0">
                  <c:v>Jul</c:v>
                </c:pt>
                <c:pt idx="1">
                  <c:v>Aug</c:v>
                </c:pt>
                <c:pt idx="2">
                  <c:v>Sep</c:v>
                </c:pt>
              </c:strCache>
            </c:strRef>
          </c:cat>
          <c:val>
            <c:numRef>
              <c:f>daily_ave_ride_duration_by_user!$F$4:$F$7</c:f>
              <c:numCache>
                <c:formatCode>0</c:formatCode>
                <c:ptCount val="3"/>
                <c:pt idx="0">
                  <c:v>1006.1659190073308</c:v>
                </c:pt>
                <c:pt idx="1">
                  <c:v>860.95086448810605</c:v>
                </c:pt>
                <c:pt idx="2">
                  <c:v>789.92311689928977</c:v>
                </c:pt>
              </c:numCache>
            </c:numRef>
          </c:val>
          <c:extLst>
            <c:ext xmlns:c16="http://schemas.microsoft.com/office/drawing/2014/chart" uri="{C3380CC4-5D6E-409C-BE32-E72D297353CC}">
              <c16:uniqueId val="{00000000-8B97-447C-BF71-86CC74DA30A0}"/>
            </c:ext>
          </c:extLst>
        </c:ser>
        <c:ser>
          <c:idx val="1"/>
          <c:order val="1"/>
          <c:tx>
            <c:strRef>
              <c:f>daily_ave_ride_duration_by_user!$G$3</c:f>
              <c:strCache>
                <c:ptCount val="1"/>
                <c:pt idx="0">
                  <c:v>MemberRide_Minutes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daily_ave_ride_duration_by_user!$E$4:$E$7</c:f>
              <c:strCache>
                <c:ptCount val="3"/>
                <c:pt idx="0">
                  <c:v>Jul</c:v>
                </c:pt>
                <c:pt idx="1">
                  <c:v>Aug</c:v>
                </c:pt>
                <c:pt idx="2">
                  <c:v>Sep</c:v>
                </c:pt>
              </c:strCache>
            </c:strRef>
          </c:cat>
          <c:val>
            <c:numRef>
              <c:f>daily_ave_ride_duration_by_user!$G$4:$G$7</c:f>
              <c:numCache>
                <c:formatCode>0</c:formatCode>
                <c:ptCount val="3"/>
                <c:pt idx="0">
                  <c:v>429.06103503812062</c:v>
                </c:pt>
                <c:pt idx="1">
                  <c:v>420.4943948000992</c:v>
                </c:pt>
                <c:pt idx="2">
                  <c:v>395.77832732414498</c:v>
                </c:pt>
              </c:numCache>
            </c:numRef>
          </c:val>
          <c:extLst>
            <c:ext xmlns:c16="http://schemas.microsoft.com/office/drawing/2014/chart" uri="{C3380CC4-5D6E-409C-BE32-E72D297353CC}">
              <c16:uniqueId val="{00000001-8B97-447C-BF71-86CC74DA30A0}"/>
            </c:ext>
          </c:extLst>
        </c:ser>
        <c:dLbls>
          <c:dLblPos val="outEnd"/>
          <c:showLegendKey val="0"/>
          <c:showVal val="1"/>
          <c:showCatName val="0"/>
          <c:showSerName val="0"/>
          <c:showPercent val="0"/>
          <c:showBubbleSize val="0"/>
        </c:dLbls>
        <c:gapWidth val="219"/>
        <c:overlap val="-27"/>
        <c:axId val="775029711"/>
        <c:axId val="775037391"/>
      </c:barChart>
      <c:catAx>
        <c:axId val="77502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37391"/>
        <c:crosses val="autoZero"/>
        <c:auto val="1"/>
        <c:lblAlgn val="ctr"/>
        <c:lblOffset val="100"/>
        <c:noMultiLvlLbl val="0"/>
      </c:catAx>
      <c:valAx>
        <c:axId val="775037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2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[DashBoard_Project2_July_Sep.xlsx]daily_ave_ride_duration_by_bike!PivotTable8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Monthly Average Duration by Bike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daily_ave_ride_duration_by_bike!$G$3</c:f>
              <c:strCache>
                <c:ptCount val="1"/>
                <c:pt idx="0">
                  <c:v>ClassicBike_duration</c:v>
                </c:pt>
              </c:strCache>
            </c:strRef>
          </c:tx>
          <c:spPr>
            <a:solidFill>
              <a:schemeClr val="accent1"/>
            </a:solidFill>
            <a:ln>
              <a:noFill/>
            </a:ln>
            <a:effectLst/>
          </c:spPr>
          <c:invertIfNegative val="0"/>
          <c:cat>
            <c:strRef>
              <c:f>daily_ave_ride_duration_by_bike!$F$4:$F$6</c:f>
              <c:strCache>
                <c:ptCount val="3"/>
                <c:pt idx="0">
                  <c:v>Jul</c:v>
                </c:pt>
                <c:pt idx="1">
                  <c:v>Aug</c:v>
                </c:pt>
                <c:pt idx="2">
                  <c:v>Sep</c:v>
                </c:pt>
              </c:strCache>
            </c:strRef>
          </c:cat>
          <c:val>
            <c:numRef>
              <c:f>daily_ave_ride_duration_by_bike!$G$4:$G$6</c:f>
              <c:numCache>
                <c:formatCode>0</c:formatCode>
                <c:ptCount val="3"/>
                <c:pt idx="0">
                  <c:v>592.50734747081015</c:v>
                </c:pt>
                <c:pt idx="1">
                  <c:v>567.95689655304216</c:v>
                </c:pt>
                <c:pt idx="2">
                  <c:v>524.78133085283719</c:v>
                </c:pt>
              </c:numCache>
            </c:numRef>
          </c:val>
          <c:extLst>
            <c:ext xmlns:c16="http://schemas.microsoft.com/office/drawing/2014/chart" uri="{C3380CC4-5D6E-409C-BE32-E72D297353CC}">
              <c16:uniqueId val="{00000001-8B90-4F4E-B1CC-307BF240BCE5}"/>
            </c:ext>
          </c:extLst>
        </c:ser>
        <c:ser>
          <c:idx val="1"/>
          <c:order val="1"/>
          <c:tx>
            <c:strRef>
              <c:f>daily_ave_ride_duration_by_bike!$H$3</c:f>
              <c:strCache>
                <c:ptCount val="1"/>
                <c:pt idx="0">
                  <c:v>DockedBike_duration</c:v>
                </c:pt>
              </c:strCache>
            </c:strRef>
          </c:tx>
          <c:spPr>
            <a:solidFill>
              <a:schemeClr val="accent2"/>
            </a:solidFill>
            <a:ln>
              <a:noFill/>
            </a:ln>
            <a:effectLst/>
          </c:spPr>
          <c:invertIfNegative val="0"/>
          <c:cat>
            <c:strRef>
              <c:f>daily_ave_ride_duration_by_bike!$F$4:$F$6</c:f>
              <c:strCache>
                <c:ptCount val="3"/>
                <c:pt idx="0">
                  <c:v>Jul</c:v>
                </c:pt>
                <c:pt idx="1">
                  <c:v>Aug</c:v>
                </c:pt>
                <c:pt idx="2">
                  <c:v>Sep</c:v>
                </c:pt>
              </c:strCache>
            </c:strRef>
          </c:cat>
          <c:val>
            <c:numRef>
              <c:f>daily_ave_ride_duration_by_bike!$H$4:$H$6</c:f>
              <c:numCache>
                <c:formatCode>0</c:formatCode>
                <c:ptCount val="3"/>
                <c:pt idx="0">
                  <c:v>2484.3058299850277</c:v>
                </c:pt>
                <c:pt idx="1">
                  <c:v>1829.5958031039111</c:v>
                </c:pt>
                <c:pt idx="2">
                  <c:v>1784.0637062778508</c:v>
                </c:pt>
              </c:numCache>
            </c:numRef>
          </c:val>
          <c:extLst>
            <c:ext xmlns:c16="http://schemas.microsoft.com/office/drawing/2014/chart" uri="{C3380CC4-5D6E-409C-BE32-E72D297353CC}">
              <c16:uniqueId val="{00000003-8B90-4F4E-B1CC-307BF240BCE5}"/>
            </c:ext>
          </c:extLst>
        </c:ser>
        <c:ser>
          <c:idx val="2"/>
          <c:order val="2"/>
          <c:tx>
            <c:strRef>
              <c:f>daily_ave_ride_duration_by_bike!$I$3</c:f>
              <c:strCache>
                <c:ptCount val="1"/>
                <c:pt idx="0">
                  <c:v>ElectricBike_duration</c:v>
                </c:pt>
              </c:strCache>
            </c:strRef>
          </c:tx>
          <c:spPr>
            <a:solidFill>
              <a:schemeClr val="accent3"/>
            </a:solidFill>
            <a:ln>
              <a:noFill/>
            </a:ln>
            <a:effectLst/>
          </c:spPr>
          <c:invertIfNegative val="0"/>
          <c:cat>
            <c:strRef>
              <c:f>daily_ave_ride_duration_by_bike!$F$4:$F$6</c:f>
              <c:strCache>
                <c:ptCount val="3"/>
                <c:pt idx="0">
                  <c:v>Jul</c:v>
                </c:pt>
                <c:pt idx="1">
                  <c:v>Aug</c:v>
                </c:pt>
                <c:pt idx="2">
                  <c:v>Sep</c:v>
                </c:pt>
              </c:strCache>
            </c:strRef>
          </c:cat>
          <c:val>
            <c:numRef>
              <c:f>daily_ave_ride_duration_by_bike!$I$4:$I$6</c:f>
              <c:numCache>
                <c:formatCode>0</c:formatCode>
                <c:ptCount val="3"/>
                <c:pt idx="0">
                  <c:v>543.91452159138555</c:v>
                </c:pt>
                <c:pt idx="1">
                  <c:v>525.60148740120997</c:v>
                </c:pt>
                <c:pt idx="2">
                  <c:v>478.82366432573889</c:v>
                </c:pt>
              </c:numCache>
            </c:numRef>
          </c:val>
          <c:extLst>
            <c:ext xmlns:c16="http://schemas.microsoft.com/office/drawing/2014/chart" uri="{C3380CC4-5D6E-409C-BE32-E72D297353CC}">
              <c16:uniqueId val="{00000005-8B90-4F4E-B1CC-307BF240BCE5}"/>
            </c:ext>
          </c:extLst>
        </c:ser>
        <c:dLbls>
          <c:showLegendKey val="0"/>
          <c:showVal val="0"/>
          <c:showCatName val="0"/>
          <c:showSerName val="0"/>
          <c:showPercent val="0"/>
          <c:showBubbleSize val="0"/>
        </c:dLbls>
        <c:gapWidth val="219"/>
        <c:overlap val="100"/>
        <c:axId val="773204159"/>
        <c:axId val="773204639"/>
      </c:barChart>
      <c:catAx>
        <c:axId val="7732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04639"/>
        <c:crosses val="autoZero"/>
        <c:auto val="1"/>
        <c:lblAlgn val="ctr"/>
        <c:lblOffset val="100"/>
        <c:noMultiLvlLbl val="0"/>
      </c:catAx>
      <c:valAx>
        <c:axId val="773204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041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[DashBoard_Project2_July_Sep.xlsx]weekly_data (2)!PivotTable10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Weekly</a:t>
            </a:r>
            <a:r>
              <a:rPr lang="en-US" sz="1200" baseline="0"/>
              <a:t> Summary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'weekly_data (2)'!$H$2</c:f>
              <c:strCache>
                <c:ptCount val="1"/>
                <c:pt idx="0">
                  <c:v>RideCount</c:v>
                </c:pt>
              </c:strCache>
            </c:strRef>
          </c:tx>
          <c:spPr>
            <a:solidFill>
              <a:schemeClr val="accent1"/>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(2)'!$H$3:$H$10</c:f>
              <c:numCache>
                <c:formatCode>General</c:formatCode>
                <c:ptCount val="7"/>
                <c:pt idx="0">
                  <c:v>358261</c:v>
                </c:pt>
                <c:pt idx="1">
                  <c:v>310263</c:v>
                </c:pt>
                <c:pt idx="2">
                  <c:v>289273</c:v>
                </c:pt>
                <c:pt idx="3">
                  <c:v>286273</c:v>
                </c:pt>
                <c:pt idx="4">
                  <c:v>255495</c:v>
                </c:pt>
                <c:pt idx="5">
                  <c:v>246925</c:v>
                </c:pt>
                <c:pt idx="6">
                  <c:v>241390</c:v>
                </c:pt>
              </c:numCache>
            </c:numRef>
          </c:val>
          <c:extLst>
            <c:ext xmlns:c16="http://schemas.microsoft.com/office/drawing/2014/chart" uri="{C3380CC4-5D6E-409C-BE32-E72D297353CC}">
              <c16:uniqueId val="{00000000-6AA8-424D-9590-A387F9808992}"/>
            </c:ext>
          </c:extLst>
        </c:ser>
        <c:ser>
          <c:idx val="1"/>
          <c:order val="1"/>
          <c:tx>
            <c:strRef>
              <c:f>'weekly_data (2)'!$I$2</c:f>
              <c:strCache>
                <c:ptCount val="1"/>
                <c:pt idx="0">
                  <c:v>CasualCount</c:v>
                </c:pt>
              </c:strCache>
            </c:strRef>
          </c:tx>
          <c:spPr>
            <a:solidFill>
              <a:schemeClr val="accent2"/>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(2)'!$I$3:$I$10</c:f>
              <c:numCache>
                <c:formatCode>General</c:formatCode>
                <c:ptCount val="7"/>
                <c:pt idx="0">
                  <c:v>223075</c:v>
                </c:pt>
                <c:pt idx="1">
                  <c:v>190394</c:v>
                </c:pt>
                <c:pt idx="2">
                  <c:v>146821</c:v>
                </c:pt>
                <c:pt idx="3">
                  <c:v>124385</c:v>
                </c:pt>
                <c:pt idx="4">
                  <c:v>105469</c:v>
                </c:pt>
                <c:pt idx="5">
                  <c:v>114989</c:v>
                </c:pt>
                <c:pt idx="6">
                  <c:v>98689</c:v>
                </c:pt>
              </c:numCache>
            </c:numRef>
          </c:val>
          <c:extLst>
            <c:ext xmlns:c16="http://schemas.microsoft.com/office/drawing/2014/chart" uri="{C3380CC4-5D6E-409C-BE32-E72D297353CC}">
              <c16:uniqueId val="{00000001-6AA8-424D-9590-A387F9808992}"/>
            </c:ext>
          </c:extLst>
        </c:ser>
        <c:ser>
          <c:idx val="2"/>
          <c:order val="2"/>
          <c:tx>
            <c:strRef>
              <c:f>'weekly_data (2)'!$J$2</c:f>
              <c:strCache>
                <c:ptCount val="1"/>
                <c:pt idx="0">
                  <c:v>MemberCount</c:v>
                </c:pt>
              </c:strCache>
            </c:strRef>
          </c:tx>
          <c:spPr>
            <a:solidFill>
              <a:schemeClr val="accent3"/>
            </a:solidFill>
            <a:ln>
              <a:noFill/>
            </a:ln>
            <a:effectLst/>
          </c:spPr>
          <c:invertIfNegative val="0"/>
          <c:cat>
            <c:strRef>
              <c:f>'weekly_data (2)'!$G$3:$G$10</c:f>
              <c:strCache>
                <c:ptCount val="7"/>
                <c:pt idx="0">
                  <c:v>Saturday</c:v>
                </c:pt>
                <c:pt idx="1">
                  <c:v>Sunday</c:v>
                </c:pt>
                <c:pt idx="2">
                  <c:v>Friday</c:v>
                </c:pt>
                <c:pt idx="3">
                  <c:v>Thursday</c:v>
                </c:pt>
                <c:pt idx="4">
                  <c:v>Wednesday</c:v>
                </c:pt>
                <c:pt idx="5">
                  <c:v>Monday</c:v>
                </c:pt>
                <c:pt idx="6">
                  <c:v>Tuesday</c:v>
                </c:pt>
              </c:strCache>
            </c:strRef>
          </c:cat>
          <c:val>
            <c:numRef>
              <c:f>'weekly_data (2)'!$J$3:$J$10</c:f>
              <c:numCache>
                <c:formatCode>General</c:formatCode>
                <c:ptCount val="7"/>
                <c:pt idx="0">
                  <c:v>135186</c:v>
                </c:pt>
                <c:pt idx="1">
                  <c:v>119869</c:v>
                </c:pt>
                <c:pt idx="2">
                  <c:v>142452</c:v>
                </c:pt>
                <c:pt idx="3">
                  <c:v>161888</c:v>
                </c:pt>
                <c:pt idx="4">
                  <c:v>150026</c:v>
                </c:pt>
                <c:pt idx="5">
                  <c:v>131936</c:v>
                </c:pt>
                <c:pt idx="6">
                  <c:v>142701</c:v>
                </c:pt>
              </c:numCache>
            </c:numRef>
          </c:val>
          <c:extLst>
            <c:ext xmlns:c16="http://schemas.microsoft.com/office/drawing/2014/chart" uri="{C3380CC4-5D6E-409C-BE32-E72D297353CC}">
              <c16:uniqueId val="{00000002-6AA8-424D-9590-A387F9808992}"/>
            </c:ext>
          </c:extLst>
        </c:ser>
        <c:dLbls>
          <c:showLegendKey val="0"/>
          <c:showVal val="0"/>
          <c:showCatName val="0"/>
          <c:showSerName val="0"/>
          <c:showPercent val="0"/>
          <c:showBubbleSize val="0"/>
        </c:dLbls>
        <c:gapWidth val="219"/>
        <c:overlap val="-27"/>
        <c:axId val="830189983"/>
        <c:axId val="830190463"/>
      </c:barChart>
      <c:catAx>
        <c:axId val="83018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90463"/>
        <c:crosses val="autoZero"/>
        <c:auto val="1"/>
        <c:lblAlgn val="ctr"/>
        <c:lblOffset val="100"/>
        <c:noMultiLvlLbl val="0"/>
      </c:catAx>
      <c:valAx>
        <c:axId val="83019046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18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499110</xdr:colOff>
      <xdr:row>9</xdr:row>
      <xdr:rowOff>43815</xdr:rowOff>
    </xdr:from>
    <xdr:to>
      <xdr:col>9</xdr:col>
      <xdr:colOff>194310</xdr:colOff>
      <xdr:row>23</xdr:row>
      <xdr:rowOff>120015</xdr:rowOff>
    </xdr:to>
    <xdr:graphicFrame macro="">
      <xdr:nvGraphicFramePr>
        <xdr:cNvPr id="2" name="Chart 1">
          <a:extLst>
            <a:ext uri="{FF2B5EF4-FFF2-40B4-BE49-F238E27FC236}">
              <a16:creationId xmlns:a16="http://schemas.microsoft.com/office/drawing/2014/main" id="{A1B09058-3B08-02AC-15CC-4389B9A44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7</xdr:row>
      <xdr:rowOff>163830</xdr:rowOff>
    </xdr:from>
    <xdr:to>
      <xdr:col>8</xdr:col>
      <xdr:colOff>487680</xdr:colOff>
      <xdr:row>22</xdr:row>
      <xdr:rowOff>49530</xdr:rowOff>
    </xdr:to>
    <xdr:graphicFrame macro="">
      <xdr:nvGraphicFramePr>
        <xdr:cNvPr id="2" name="Chart 1">
          <a:extLst>
            <a:ext uri="{FF2B5EF4-FFF2-40B4-BE49-F238E27FC236}">
              <a16:creationId xmlns:a16="http://schemas.microsoft.com/office/drawing/2014/main" id="{823E38C3-F7B0-FF57-0B63-F9315DE47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567690</xdr:colOff>
      <xdr:row>9</xdr:row>
      <xdr:rowOff>125730</xdr:rowOff>
    </xdr:from>
    <xdr:to>
      <xdr:col>9</xdr:col>
      <xdr:colOff>106680</xdr:colOff>
      <xdr:row>24</xdr:row>
      <xdr:rowOff>11430</xdr:rowOff>
    </xdr:to>
    <xdr:graphicFrame macro="">
      <xdr:nvGraphicFramePr>
        <xdr:cNvPr id="7" name="Chart 6">
          <a:extLst>
            <a:ext uri="{FF2B5EF4-FFF2-40B4-BE49-F238E27FC236}">
              <a16:creationId xmlns:a16="http://schemas.microsoft.com/office/drawing/2014/main" id="{40BB449C-A172-C2FC-2888-4AAFEB4F8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369570</xdr:colOff>
      <xdr:row>0</xdr:row>
      <xdr:rowOff>1</xdr:rowOff>
    </xdr:from>
    <xdr:to>
      <xdr:col>6</xdr:col>
      <xdr:colOff>800100</xdr:colOff>
      <xdr:row>4</xdr:row>
      <xdr:rowOff>167640</xdr:rowOff>
    </xdr:to>
    <xdr:graphicFrame macro="">
      <xdr:nvGraphicFramePr>
        <xdr:cNvPr id="2" name="Chart 1">
          <a:extLst>
            <a:ext uri="{FF2B5EF4-FFF2-40B4-BE49-F238E27FC236}">
              <a16:creationId xmlns:a16="http://schemas.microsoft.com/office/drawing/2014/main" id="{498A191B-A6D3-3BE2-086C-6C8EE4049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798195</xdr:colOff>
      <xdr:row>6</xdr:row>
      <xdr:rowOff>127635</xdr:rowOff>
    </xdr:from>
    <xdr:to>
      <xdr:col>9</xdr:col>
      <xdr:colOff>721995</xdr:colOff>
      <xdr:row>21</xdr:row>
      <xdr:rowOff>13335</xdr:rowOff>
    </xdr:to>
    <xdr:graphicFrame macro="">
      <xdr:nvGraphicFramePr>
        <xdr:cNvPr id="3" name="Chart 2">
          <a:extLst>
            <a:ext uri="{FF2B5EF4-FFF2-40B4-BE49-F238E27FC236}">
              <a16:creationId xmlns:a16="http://schemas.microsoft.com/office/drawing/2014/main" id="{556E3EE8-5BE4-3AAA-9E81-EE35303B9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51435</xdr:colOff>
      <xdr:row>30</xdr:row>
      <xdr:rowOff>3810</xdr:rowOff>
    </xdr:from>
    <xdr:to>
      <xdr:col>10</xdr:col>
      <xdr:colOff>270510</xdr:colOff>
      <xdr:row>44</xdr:row>
      <xdr:rowOff>80010</xdr:rowOff>
    </xdr:to>
    <xdr:graphicFrame macro="">
      <xdr:nvGraphicFramePr>
        <xdr:cNvPr id="5" name="Chart 4">
          <a:extLst>
            <a:ext uri="{FF2B5EF4-FFF2-40B4-BE49-F238E27FC236}">
              <a16:creationId xmlns:a16="http://schemas.microsoft.com/office/drawing/2014/main" id="{C8A59766-66BC-31EF-16BA-C77B15464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270510</xdr:colOff>
      <xdr:row>11</xdr:row>
      <xdr:rowOff>34290</xdr:rowOff>
    </xdr:from>
    <xdr:to>
      <xdr:col>10</xdr:col>
      <xdr:colOff>520065</xdr:colOff>
      <xdr:row>25</xdr:row>
      <xdr:rowOff>110490</xdr:rowOff>
    </xdr:to>
    <xdr:graphicFrame macro="">
      <xdr:nvGraphicFramePr>
        <xdr:cNvPr id="2" name="Chart 1">
          <a:extLst>
            <a:ext uri="{FF2B5EF4-FFF2-40B4-BE49-F238E27FC236}">
              <a16:creationId xmlns:a16="http://schemas.microsoft.com/office/drawing/2014/main" id="{C7E32D46-CAE2-53AD-0193-EC6E669A7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xdr:row>
      <xdr:rowOff>59932</xdr:rowOff>
    </xdr:from>
    <xdr:to>
      <xdr:col>3</xdr:col>
      <xdr:colOff>577215</xdr:colOff>
      <xdr:row>9</xdr:row>
      <xdr:rowOff>52546</xdr:rowOff>
    </xdr:to>
    <xdr:graphicFrame macro="">
      <xdr:nvGraphicFramePr>
        <xdr:cNvPr id="2" name="Chart 1">
          <a:extLst>
            <a:ext uri="{FF2B5EF4-FFF2-40B4-BE49-F238E27FC236}">
              <a16:creationId xmlns:a16="http://schemas.microsoft.com/office/drawing/2014/main" id="{B1C96F73-62E3-49B4-8006-B2866A890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31957</xdr:colOff>
      <xdr:row>9</xdr:row>
      <xdr:rowOff>110490</xdr:rowOff>
    </xdr:from>
    <xdr:to>
      <xdr:col>18</xdr:col>
      <xdr:colOff>566950</xdr:colOff>
      <xdr:row>22</xdr:row>
      <xdr:rowOff>180331</xdr:rowOff>
    </xdr:to>
    <xdr:graphicFrame macro="">
      <xdr:nvGraphicFramePr>
        <xdr:cNvPr id="3" name="Chart 2">
          <a:extLst>
            <a:ext uri="{FF2B5EF4-FFF2-40B4-BE49-F238E27FC236}">
              <a16:creationId xmlns:a16="http://schemas.microsoft.com/office/drawing/2014/main" id="{727CA0A5-B363-4674-BA79-2D71315C5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26668</xdr:colOff>
      <xdr:row>9</xdr:row>
      <xdr:rowOff>110490</xdr:rowOff>
    </xdr:from>
    <xdr:to>
      <xdr:col>9</xdr:col>
      <xdr:colOff>563567</xdr:colOff>
      <xdr:row>22</xdr:row>
      <xdr:rowOff>178426</xdr:rowOff>
    </xdr:to>
    <xdr:graphicFrame macro="">
      <xdr:nvGraphicFramePr>
        <xdr:cNvPr id="4" name="Chart 3">
          <a:extLst>
            <a:ext uri="{FF2B5EF4-FFF2-40B4-BE49-F238E27FC236}">
              <a16:creationId xmlns:a16="http://schemas.microsoft.com/office/drawing/2014/main" id="{F1D2D48E-5BF2-4C48-A82A-4EA37DD70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25751</xdr:colOff>
      <xdr:row>23</xdr:row>
      <xdr:rowOff>112726</xdr:rowOff>
    </xdr:from>
    <xdr:to>
      <xdr:col>6</xdr:col>
      <xdr:colOff>500978</xdr:colOff>
      <xdr:row>35</xdr:row>
      <xdr:rowOff>31462</xdr:rowOff>
    </xdr:to>
    <xdr:graphicFrame macro="">
      <xdr:nvGraphicFramePr>
        <xdr:cNvPr id="5" name="Chart 4">
          <a:extLst>
            <a:ext uri="{FF2B5EF4-FFF2-40B4-BE49-F238E27FC236}">
              <a16:creationId xmlns:a16="http://schemas.microsoft.com/office/drawing/2014/main" id="{2E94D993-F312-4A2F-A153-61C1E3415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53673</xdr:colOff>
      <xdr:row>23</xdr:row>
      <xdr:rowOff>117488</xdr:rowOff>
    </xdr:from>
    <xdr:to>
      <xdr:col>12</xdr:col>
      <xdr:colOff>544139</xdr:colOff>
      <xdr:row>35</xdr:row>
      <xdr:rowOff>28604</xdr:rowOff>
    </xdr:to>
    <xdr:graphicFrame macro="">
      <xdr:nvGraphicFramePr>
        <xdr:cNvPr id="6" name="Chart 5">
          <a:extLst>
            <a:ext uri="{FF2B5EF4-FFF2-40B4-BE49-F238E27FC236}">
              <a16:creationId xmlns:a16="http://schemas.microsoft.com/office/drawing/2014/main" id="{4DEFF4F0-5EE4-4315-BE6F-F6CFB7BEF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562016</xdr:colOff>
      <xdr:row>6</xdr:row>
      <xdr:rowOff>216227</xdr:rowOff>
    </xdr:from>
    <xdr:to>
      <xdr:col>19</xdr:col>
      <xdr:colOff>43620</xdr:colOff>
      <xdr:row>6</xdr:row>
      <xdr:rowOff>714374</xdr:rowOff>
    </xdr:to>
    <mc:AlternateContent xmlns:mc="http://schemas.openxmlformats.org/markup-compatibility/2006" xmlns:a14="http://schemas.microsoft.com/office/drawing/2010/main">
      <mc:Choice Requires="a14">
        <xdr:graphicFrame macro="">
          <xdr:nvGraphicFramePr>
            <xdr:cNvPr id="7" name="Months (started)">
              <a:extLst>
                <a:ext uri="{FF2B5EF4-FFF2-40B4-BE49-F238E27FC236}">
                  <a16:creationId xmlns:a16="http://schemas.microsoft.com/office/drawing/2014/main" id="{8332CD26-700D-6F16-E32D-ECDE7D88984A}"/>
                </a:ext>
              </a:extLst>
            </xdr:cNvPr>
            <xdr:cNvGraphicFramePr/>
          </xdr:nvGraphicFramePr>
          <xdr:xfrm>
            <a:off x="0" y="0"/>
            <a:ext cx="0" cy="0"/>
          </xdr:xfrm>
          <a:graphic>
            <a:graphicData uri="http://schemas.microsoft.com/office/drawing/2010/slicer">
              <sle:slicer xmlns:sle="http://schemas.microsoft.com/office/drawing/2010/slicer" name="Months (started)"/>
            </a:graphicData>
          </a:graphic>
        </xdr:graphicFrame>
      </mc:Choice>
      <mc:Fallback xmlns="">
        <xdr:sp macro="" textlink="">
          <xdr:nvSpPr>
            <xdr:cNvPr id="0" name=""/>
            <xdr:cNvSpPr>
              <a:spLocks noTextEdit="1"/>
            </xdr:cNvSpPr>
          </xdr:nvSpPr>
          <xdr:spPr>
            <a:xfrm>
              <a:off x="12227003" y="1347685"/>
              <a:ext cx="1918099" cy="496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103705</xdr:colOff>
      <xdr:row>23</xdr:row>
      <xdr:rowOff>125108</xdr:rowOff>
    </xdr:from>
    <xdr:to>
      <xdr:col>18</xdr:col>
      <xdr:colOff>578931</xdr:colOff>
      <xdr:row>35</xdr:row>
      <xdr:rowOff>19079</xdr:rowOff>
    </xdr:to>
    <xdr:graphicFrame macro="">
      <xdr:nvGraphicFramePr>
        <xdr:cNvPr id="8" name="Chart 7">
          <a:extLst>
            <a:ext uri="{FF2B5EF4-FFF2-40B4-BE49-F238E27FC236}">
              <a16:creationId xmlns:a16="http://schemas.microsoft.com/office/drawing/2014/main" id="{5A11489D-D29D-4B2C-BD35-FECE6CE47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029584606484" createdVersion="8" refreshedVersion="8" minRefreshableVersion="3" recordCount="92" xr:uid="{9FFA7047-37B4-4566-B31A-B5A1535E7017}">
  <cacheSource type="worksheet">
    <worksheetSource name="daily_data"/>
  </cacheSource>
  <cacheFields count="7">
    <cacheField name="Column1" numFmtId="0">
      <sharedItems containsSemiMixedTypes="0" containsString="0" containsNumber="1" containsInteger="1" minValue="0" maxValue="91"/>
    </cacheField>
    <cacheField name="started" numFmtId="14">
      <sharedItems containsSemiMixedTypes="0" containsNonDate="0" containsDate="1" containsString="0" minDate="2021-07-01T00:00:00" maxDate="2021-10-01T00:00:00" count="92">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sharedItems>
      <fieldGroup par="6"/>
    </cacheField>
    <cacheField name="ride_id" numFmtId="0">
      <sharedItems containsSemiMixedTypes="0" containsString="0" containsNumber="1" containsInteger="1" minValue="10558" maxValue="32693"/>
    </cacheField>
    <cacheField name="casual" numFmtId="0">
      <sharedItems containsSemiMixedTypes="0" containsString="0" containsNumber="1" containsInteger="1" minValue="4324" maxValue="20269" count="92">
        <n v="9276"/>
        <n v="11392"/>
        <n v="18533"/>
        <n v="19864"/>
        <n v="14529"/>
        <n v="9269"/>
        <n v="8618"/>
        <n v="8553"/>
        <n v="13386"/>
        <n v="12792"/>
        <n v="5705"/>
        <n v="7169"/>
        <n v="8145"/>
        <n v="9468"/>
        <n v="7533"/>
        <n v="9438"/>
        <n v="20269"/>
        <n v="17222"/>
        <n v="9294"/>
        <n v="9782"/>
        <n v="9337"/>
        <n v="9812"/>
        <n v="11215"/>
        <n v="17360"/>
        <n v="16764"/>
        <n v="9384"/>
        <n v="9535"/>
        <n v="10532"/>
        <n v="11431"/>
        <n v="13833"/>
        <n v="19975"/>
        <n v="16225"/>
        <n v="9094"/>
        <n v="9177"/>
        <n v="9397"/>
        <n v="10326"/>
        <n v="11966"/>
        <n v="19488"/>
        <n v="14104"/>
        <n v="5953"/>
        <n v="7154"/>
        <n v="7283"/>
        <n v="8953"/>
        <n v="12357"/>
        <n v="20267"/>
        <n v="16362"/>
        <n v="8710"/>
        <n v="8847"/>
        <n v="9093"/>
        <n v="9517"/>
        <n v="12490"/>
        <n v="16663"/>
        <n v="15771"/>
        <n v="8467"/>
        <n v="5287"/>
        <n v="6534"/>
        <n v="9426"/>
        <n v="11363"/>
        <n v="15472"/>
        <n v="10927"/>
        <n v="7633"/>
        <n v="7170"/>
        <n v="8240"/>
        <n v="8770"/>
        <n v="9490"/>
        <n v="14518"/>
        <n v="18801"/>
        <n v="15415"/>
        <n v="6039"/>
        <n v="7721"/>
        <n v="8285"/>
        <n v="10255"/>
        <n v="16784"/>
        <n v="12757"/>
        <n v="6908"/>
        <n v="7118"/>
        <n v="8211"/>
        <n v="9788"/>
        <n v="10709"/>
        <n v="16438"/>
        <n v="13762"/>
        <n v="6068"/>
        <n v="4851"/>
        <n v="4324"/>
        <n v="5773"/>
        <n v="8927"/>
        <n v="14516"/>
        <n v="12130"/>
        <n v="6365"/>
        <n v="6315"/>
        <n v="6711"/>
        <n v="6942"/>
      </sharedItems>
    </cacheField>
    <cacheField name="member" numFmtId="0">
      <sharedItems containsSemiMixedTypes="0" containsString="0" containsNumber="1" containsInteger="1" minValue="4853" maxValue="12718" count="92">
        <n v="11385"/>
        <n v="10934"/>
        <n v="9503"/>
        <n v="8222"/>
        <n v="8788"/>
        <n v="10204"/>
        <n v="10493"/>
        <n v="10478"/>
        <n v="11327"/>
        <n v="8152"/>
        <n v="4853"/>
        <n v="9465"/>
        <n v="10895"/>
        <n v="11666"/>
        <n v="9561"/>
        <n v="10103"/>
        <n v="11608"/>
        <n v="10131"/>
        <n v="10573"/>
        <n v="11805"/>
        <n v="11954"/>
        <n v="12174"/>
        <n v="10498"/>
        <n v="9962"/>
        <n v="10214"/>
        <n v="10937"/>
        <n v="11815"/>
        <n v="11721"/>
        <n v="11410"/>
        <n v="11084"/>
        <n v="10991"/>
        <n v="9376"/>
        <n v="10349"/>
        <n v="11382"/>
        <n v="11668"/>
        <n v="11601"/>
        <n v="10619"/>
        <n v="10979"/>
        <n v="8934"/>
        <n v="8073"/>
        <n v="9931"/>
        <n v="10562"/>
        <n v="11357"/>
        <n v="11893"/>
        <n v="12426"/>
        <n v="10560"/>
        <n v="10833"/>
        <n v="12069"/>
        <n v="12036"/>
        <n v="11546"/>
        <n v="11035"/>
        <n v="9928"/>
        <n v="10052"/>
        <n v="10990"/>
        <n v="9129"/>
        <n v="10366"/>
        <n v="12272"/>
        <n v="11181"/>
        <n v="10241"/>
        <n v="8839"/>
        <n v="10908"/>
        <n v="11798"/>
        <n v="12718"/>
        <n v="11847"/>
        <n v="10001"/>
        <n v="8829"/>
        <n v="9357"/>
        <n v="9371"/>
        <n v="9865"/>
        <n v="12446"/>
        <n v="12485"/>
        <n v="11861"/>
        <n v="11290"/>
        <n v="10031"/>
        <n v="10858"/>
        <n v="12241"/>
        <n v="12637"/>
        <n v="12607"/>
        <n v="11018"/>
        <n v="10909"/>
        <n v="9714"/>
        <n v="9900"/>
        <n v="9607"/>
        <n v="9314"/>
        <n v="10879"/>
        <n v="10898"/>
        <n v="10368"/>
        <n v="9586"/>
        <n v="10891"/>
        <n v="11960"/>
        <n v="12445"/>
        <n v="12286"/>
      </sharedItems>
    </cacheField>
    <cacheField name="Days (started)" numFmtId="0" databaseField="0">
      <fieldGroup base="1">
        <rangePr groupBy="days" startDate="2021-07-01T00:00:00" endDate="2021-10-01T00:00: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1"/>
        </groupItems>
      </fieldGroup>
    </cacheField>
    <cacheField name="Months (started)" numFmtId="0" databaseField="0">
      <fieldGroup base="1">
        <rangePr groupBy="months" startDate="2021-07-01T00:00:00" endDate="2021-10-01T00:00:00"/>
        <groupItems count="14">
          <s v="&lt;01/07/2021"/>
          <s v="Jan"/>
          <s v="Feb"/>
          <s v="Mar"/>
          <s v="Apr"/>
          <s v="May"/>
          <s v="Jun"/>
          <s v="Jul"/>
          <s v="Aug"/>
          <s v="Sep"/>
          <s v="Oct"/>
          <s v="Nov"/>
          <s v="Dec"/>
          <s v="&gt;01/10/2021"/>
        </groupItems>
      </fieldGroup>
    </cacheField>
  </cacheFields>
  <extLst>
    <ext xmlns:x14="http://schemas.microsoft.com/office/spreadsheetml/2009/9/main" uri="{725AE2AE-9491-48be-B2B4-4EB974FC3084}">
      <x14:pivotCacheDefinition pivotCacheId="8324218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039781944448" createdVersion="8" refreshedVersion="8" minRefreshableVersion="3" recordCount="92" xr:uid="{1152ECD0-0110-466B-853C-64B3DF4EE071}">
  <cacheSource type="worksheet">
    <worksheetSource name="monthly_rides_bt"/>
  </cacheSource>
  <cacheFields count="6">
    <cacheField name="started" numFmtId="14">
      <sharedItems containsSemiMixedTypes="0" containsNonDate="0" containsDate="1" containsString="0" minDate="2021-07-01T00:00:00" maxDate="2021-10-01T00:00:00" count="92">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sharedItems>
      <fieldGroup par="5"/>
    </cacheField>
    <cacheField name="classic_bike" numFmtId="0">
      <sharedItems containsSemiMixedTypes="0" containsString="0" containsNumber="1" containsInteger="1" minValue="7118" maxValue="25712"/>
    </cacheField>
    <cacheField name="docked_bike" numFmtId="0">
      <sharedItems containsSemiMixedTypes="0" containsString="0" containsNumber="1" containsInteger="1" minValue="297" maxValue="3975"/>
    </cacheField>
    <cacheField name="electric_bike" numFmtId="0">
      <sharedItems containsSemiMixedTypes="0" containsString="0" containsNumber="1" containsInteger="1" minValue="2563" maxValue="5409"/>
    </cacheField>
    <cacheField name="Days (started)" numFmtId="0" databaseField="0">
      <fieldGroup base="0">
        <rangePr groupBy="days" startDate="2021-07-01T00:00:00" endDate="2021-10-01T00:00: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1"/>
        </groupItems>
      </fieldGroup>
    </cacheField>
    <cacheField name="Months (started)" numFmtId="0" databaseField="0">
      <fieldGroup base="0">
        <rangePr groupBy="months" startDate="2021-07-01T00:00:00" endDate="2021-10-01T00:00:00"/>
        <groupItems count="14">
          <s v="&lt;01/07/2021"/>
          <s v="Jan"/>
          <s v="Feb"/>
          <s v="Mar"/>
          <s v="Apr"/>
          <s v="May"/>
          <s v="Jun"/>
          <s v="Jul"/>
          <s v="Aug"/>
          <s v="Sep"/>
          <s v="Oct"/>
          <s v="Nov"/>
          <s v="Dec"/>
          <s v="&gt;01/10/202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565160995371" createdVersion="8" refreshedVersion="8" minRefreshableVersion="3" recordCount="92" xr:uid="{2F5CE6DB-4C1C-4840-8E2E-CF466ACCE52E}">
  <cacheSource type="worksheet">
    <worksheetSource name="daily_ave_ride_duration_by_user"/>
  </cacheSource>
  <cacheFields count="5">
    <cacheField name="started" numFmtId="14">
      <sharedItems containsSemiMixedTypes="0" containsNonDate="0" containsDate="1" containsString="0" minDate="2021-07-01T00:00:00" maxDate="2021-10-01T00:00:00" count="92">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sharedItems>
      <fieldGroup par="4"/>
    </cacheField>
    <cacheField name="casual" numFmtId="1">
      <sharedItems containsSemiMixedTypes="0" containsString="0" containsNumber="1" minValue="18.31973095898859" maxValue="47.753671226470246"/>
    </cacheField>
    <cacheField name="member" numFmtId="1">
      <sharedItems containsSemiMixedTypes="0" containsString="0" containsNumber="1" minValue="11.016845608761004" maxValue="17.003435903673072"/>
    </cacheField>
    <cacheField name="Days (started)" numFmtId="0" databaseField="0">
      <fieldGroup base="0">
        <rangePr groupBy="days" startDate="2021-07-01T00:00:00" endDate="2021-10-01T00:00: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1"/>
        </groupItems>
      </fieldGroup>
    </cacheField>
    <cacheField name="Months (started)" numFmtId="0" databaseField="0">
      <fieldGroup base="0">
        <rangePr groupBy="months" startDate="2021-07-01T00:00:00" endDate="2021-10-01T00:00:00"/>
        <groupItems count="14">
          <s v="&lt;01/07/2021"/>
          <s v="Jan"/>
          <s v="Feb"/>
          <s v="Mar"/>
          <s v="Apr"/>
          <s v="May"/>
          <s v="Jun"/>
          <s v="Jul"/>
          <s v="Aug"/>
          <s v="Sep"/>
          <s v="Oct"/>
          <s v="Nov"/>
          <s v="Dec"/>
          <s v="&gt;01/10/202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570214699073" createdVersion="8" refreshedVersion="8" minRefreshableVersion="3" recordCount="92" xr:uid="{A82DD88C-91B7-4019-A218-4514ECFE37DC}">
  <cacheSource type="worksheet">
    <worksheetSource name="daily_ave_ride_duration_by_bikes"/>
  </cacheSource>
  <cacheFields count="6">
    <cacheField name="started" numFmtId="14">
      <sharedItems containsSemiMixedTypes="0" containsNonDate="0" containsDate="1" containsString="0" minDate="2021-07-01T00:00:00" maxDate="2021-10-01T00:00:00" count="92">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sharedItems>
      <fieldGroup par="5"/>
    </cacheField>
    <cacheField name="classic_bike" numFmtId="1">
      <sharedItems containsSemiMixedTypes="0" containsString="0" containsNumber="1" minValue="12.904622434747958" maxValue="26.277956504309483"/>
    </cacheField>
    <cacheField name="docked_bike" numFmtId="1">
      <sharedItems containsSemiMixedTypes="0" containsString="0" containsNumber="1" minValue="41.59345794392523" maxValue="246.21293215916504"/>
    </cacheField>
    <cacheField name="electric_bike" numFmtId="1">
      <sharedItems containsSemiMixedTypes="0" containsString="0" containsNumber="1" minValue="11.777116762539105" maxValue="24.26139383021842"/>
    </cacheField>
    <cacheField name="Days (started)" numFmtId="0" databaseField="0">
      <fieldGroup base="0">
        <rangePr groupBy="days" startDate="2021-07-01T00:00:00" endDate="2021-10-01T00:00:00"/>
        <groupItems count="368">
          <s v="&lt;01/07/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1"/>
        </groupItems>
      </fieldGroup>
    </cacheField>
    <cacheField name="Months (started)" numFmtId="0" databaseField="0">
      <fieldGroup base="0">
        <rangePr groupBy="months" startDate="2021-07-01T00:00:00" endDate="2021-10-01T00:00:00"/>
        <groupItems count="14">
          <s v="&lt;01/07/2021"/>
          <s v="Jan"/>
          <s v="Feb"/>
          <s v="Mar"/>
          <s v="Apr"/>
          <s v="May"/>
          <s v="Jun"/>
          <s v="Jul"/>
          <s v="Aug"/>
          <s v="Sep"/>
          <s v="Oct"/>
          <s v="Nov"/>
          <s v="Dec"/>
          <s v="&gt;01/10/202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1.619309490743" createdVersion="8" refreshedVersion="8" minRefreshableVersion="3" recordCount="7" xr:uid="{B5B679DA-C380-4B00-8FBD-040A0E2A859E}">
  <cacheSource type="worksheet">
    <worksheetSource name="weekly_data__2"/>
  </cacheSource>
  <cacheFields count="5">
    <cacheField name="Column1" numFmtId="0">
      <sharedItems containsSemiMixedTypes="0" containsString="0" containsNumber="1" containsInteger="1" minValue="0" maxValue="6"/>
    </cacheField>
    <cacheField name="weekdays" numFmtId="0">
      <sharedItems count="7">
        <s v="Friday"/>
        <s v="Monday"/>
        <s v="Saturday"/>
        <s v="Sunday"/>
        <s v="Thursday"/>
        <s v="Tuesday"/>
        <s v="Wednesday"/>
      </sharedItems>
    </cacheField>
    <cacheField name="ride_id" numFmtId="0">
      <sharedItems containsSemiMixedTypes="0" containsString="0" containsNumber="1" containsInteger="1" minValue="241390" maxValue="358261"/>
    </cacheField>
    <cacheField name="casual" numFmtId="0">
      <sharedItems containsSemiMixedTypes="0" containsString="0" containsNumber="1" containsInteger="1" minValue="98689" maxValue="223075"/>
    </cacheField>
    <cacheField name="member" numFmtId="0">
      <sharedItems containsSemiMixedTypes="0" containsString="0" containsNumber="1" containsInteger="1" minValue="119869" maxValue="1618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n v="0"/>
    <x v="0"/>
    <n v="20661"/>
    <x v="0"/>
    <x v="0"/>
  </r>
  <r>
    <n v="1"/>
    <x v="1"/>
    <n v="22326"/>
    <x v="1"/>
    <x v="1"/>
  </r>
  <r>
    <n v="2"/>
    <x v="2"/>
    <n v="28036"/>
    <x v="2"/>
    <x v="2"/>
  </r>
  <r>
    <n v="3"/>
    <x v="3"/>
    <n v="28086"/>
    <x v="3"/>
    <x v="3"/>
  </r>
  <r>
    <n v="4"/>
    <x v="4"/>
    <n v="23317"/>
    <x v="4"/>
    <x v="4"/>
  </r>
  <r>
    <n v="5"/>
    <x v="5"/>
    <n v="19473"/>
    <x v="5"/>
    <x v="5"/>
  </r>
  <r>
    <n v="6"/>
    <x v="6"/>
    <n v="19111"/>
    <x v="6"/>
    <x v="6"/>
  </r>
  <r>
    <n v="7"/>
    <x v="7"/>
    <n v="19031"/>
    <x v="7"/>
    <x v="7"/>
  </r>
  <r>
    <n v="8"/>
    <x v="8"/>
    <n v="24713"/>
    <x v="8"/>
    <x v="8"/>
  </r>
  <r>
    <n v="9"/>
    <x v="9"/>
    <n v="20944"/>
    <x v="9"/>
    <x v="9"/>
  </r>
  <r>
    <n v="10"/>
    <x v="10"/>
    <n v="10558"/>
    <x v="10"/>
    <x v="10"/>
  </r>
  <r>
    <n v="11"/>
    <x v="11"/>
    <n v="16634"/>
    <x v="11"/>
    <x v="11"/>
  </r>
  <r>
    <n v="12"/>
    <x v="12"/>
    <n v="19040"/>
    <x v="12"/>
    <x v="12"/>
  </r>
  <r>
    <n v="13"/>
    <x v="13"/>
    <n v="21134"/>
    <x v="13"/>
    <x v="13"/>
  </r>
  <r>
    <n v="14"/>
    <x v="14"/>
    <n v="17094"/>
    <x v="14"/>
    <x v="14"/>
  </r>
  <r>
    <n v="15"/>
    <x v="15"/>
    <n v="19541"/>
    <x v="15"/>
    <x v="15"/>
  </r>
  <r>
    <n v="16"/>
    <x v="16"/>
    <n v="31877"/>
    <x v="16"/>
    <x v="16"/>
  </r>
  <r>
    <n v="17"/>
    <x v="17"/>
    <n v="27353"/>
    <x v="17"/>
    <x v="17"/>
  </r>
  <r>
    <n v="18"/>
    <x v="18"/>
    <n v="19867"/>
    <x v="18"/>
    <x v="18"/>
  </r>
  <r>
    <n v="19"/>
    <x v="19"/>
    <n v="21587"/>
    <x v="19"/>
    <x v="19"/>
  </r>
  <r>
    <n v="20"/>
    <x v="20"/>
    <n v="21291"/>
    <x v="20"/>
    <x v="20"/>
  </r>
  <r>
    <n v="21"/>
    <x v="21"/>
    <n v="21986"/>
    <x v="21"/>
    <x v="21"/>
  </r>
  <r>
    <n v="22"/>
    <x v="22"/>
    <n v="21713"/>
    <x v="22"/>
    <x v="22"/>
  </r>
  <r>
    <n v="23"/>
    <x v="23"/>
    <n v="27322"/>
    <x v="23"/>
    <x v="23"/>
  </r>
  <r>
    <n v="24"/>
    <x v="24"/>
    <n v="26978"/>
    <x v="24"/>
    <x v="24"/>
  </r>
  <r>
    <n v="25"/>
    <x v="25"/>
    <n v="20321"/>
    <x v="25"/>
    <x v="25"/>
  </r>
  <r>
    <n v="26"/>
    <x v="26"/>
    <n v="21350"/>
    <x v="26"/>
    <x v="26"/>
  </r>
  <r>
    <n v="27"/>
    <x v="27"/>
    <n v="22253"/>
    <x v="27"/>
    <x v="27"/>
  </r>
  <r>
    <n v="28"/>
    <x v="28"/>
    <n v="22841"/>
    <x v="28"/>
    <x v="28"/>
  </r>
  <r>
    <n v="29"/>
    <x v="29"/>
    <n v="24917"/>
    <x v="29"/>
    <x v="29"/>
  </r>
  <r>
    <n v="30"/>
    <x v="30"/>
    <n v="30966"/>
    <x v="30"/>
    <x v="30"/>
  </r>
  <r>
    <n v="31"/>
    <x v="31"/>
    <n v="25601"/>
    <x v="31"/>
    <x v="31"/>
  </r>
  <r>
    <n v="32"/>
    <x v="32"/>
    <n v="19443"/>
    <x v="32"/>
    <x v="32"/>
  </r>
  <r>
    <n v="33"/>
    <x v="33"/>
    <n v="20559"/>
    <x v="33"/>
    <x v="33"/>
  </r>
  <r>
    <n v="34"/>
    <x v="34"/>
    <n v="21065"/>
    <x v="34"/>
    <x v="34"/>
  </r>
  <r>
    <n v="35"/>
    <x v="35"/>
    <n v="21927"/>
    <x v="35"/>
    <x v="35"/>
  </r>
  <r>
    <n v="36"/>
    <x v="36"/>
    <n v="22585"/>
    <x v="36"/>
    <x v="36"/>
  </r>
  <r>
    <n v="37"/>
    <x v="37"/>
    <n v="30467"/>
    <x v="37"/>
    <x v="37"/>
  </r>
  <r>
    <n v="38"/>
    <x v="38"/>
    <n v="23038"/>
    <x v="38"/>
    <x v="38"/>
  </r>
  <r>
    <n v="39"/>
    <x v="39"/>
    <n v="14026"/>
    <x v="39"/>
    <x v="39"/>
  </r>
  <r>
    <n v="40"/>
    <x v="40"/>
    <n v="17085"/>
    <x v="40"/>
    <x v="40"/>
  </r>
  <r>
    <n v="41"/>
    <x v="41"/>
    <n v="17845"/>
    <x v="41"/>
    <x v="41"/>
  </r>
  <r>
    <n v="42"/>
    <x v="42"/>
    <n v="20310"/>
    <x v="42"/>
    <x v="42"/>
  </r>
  <r>
    <n v="43"/>
    <x v="43"/>
    <n v="24250"/>
    <x v="43"/>
    <x v="43"/>
  </r>
  <r>
    <n v="44"/>
    <x v="44"/>
    <n v="32693"/>
    <x v="44"/>
    <x v="44"/>
  </r>
  <r>
    <n v="45"/>
    <x v="45"/>
    <n v="26922"/>
    <x v="45"/>
    <x v="45"/>
  </r>
  <r>
    <n v="46"/>
    <x v="46"/>
    <n v="19543"/>
    <x v="46"/>
    <x v="46"/>
  </r>
  <r>
    <n v="47"/>
    <x v="47"/>
    <n v="20916"/>
    <x v="47"/>
    <x v="47"/>
  </r>
  <r>
    <n v="48"/>
    <x v="48"/>
    <n v="21129"/>
    <x v="48"/>
    <x v="48"/>
  </r>
  <r>
    <n v="49"/>
    <x v="49"/>
    <n v="21063"/>
    <x v="49"/>
    <x v="49"/>
  </r>
  <r>
    <n v="50"/>
    <x v="50"/>
    <n v="23525"/>
    <x v="50"/>
    <x v="50"/>
  </r>
  <r>
    <n v="51"/>
    <x v="51"/>
    <n v="26591"/>
    <x v="51"/>
    <x v="51"/>
  </r>
  <r>
    <n v="52"/>
    <x v="52"/>
    <n v="25823"/>
    <x v="52"/>
    <x v="52"/>
  </r>
  <r>
    <n v="53"/>
    <x v="53"/>
    <n v="19457"/>
    <x v="53"/>
    <x v="53"/>
  </r>
  <r>
    <n v="54"/>
    <x v="54"/>
    <n v="14416"/>
    <x v="54"/>
    <x v="54"/>
  </r>
  <r>
    <n v="55"/>
    <x v="55"/>
    <n v="16900"/>
    <x v="55"/>
    <x v="55"/>
  </r>
  <r>
    <n v="56"/>
    <x v="56"/>
    <n v="21698"/>
    <x v="56"/>
    <x v="56"/>
  </r>
  <r>
    <n v="57"/>
    <x v="57"/>
    <n v="22544"/>
    <x v="57"/>
    <x v="57"/>
  </r>
  <r>
    <n v="58"/>
    <x v="58"/>
    <n v="25713"/>
    <x v="58"/>
    <x v="58"/>
  </r>
  <r>
    <n v="59"/>
    <x v="59"/>
    <n v="19766"/>
    <x v="59"/>
    <x v="59"/>
  </r>
  <r>
    <n v="60"/>
    <x v="60"/>
    <n v="18541"/>
    <x v="60"/>
    <x v="60"/>
  </r>
  <r>
    <n v="61"/>
    <x v="61"/>
    <n v="18968"/>
    <x v="61"/>
    <x v="61"/>
  </r>
  <r>
    <n v="62"/>
    <x v="62"/>
    <n v="20958"/>
    <x v="62"/>
    <x v="62"/>
  </r>
  <r>
    <n v="63"/>
    <x v="63"/>
    <n v="20617"/>
    <x v="63"/>
    <x v="63"/>
  </r>
  <r>
    <n v="64"/>
    <x v="64"/>
    <n v="19491"/>
    <x v="64"/>
    <x v="64"/>
  </r>
  <r>
    <n v="65"/>
    <x v="65"/>
    <n v="23347"/>
    <x v="65"/>
    <x v="65"/>
  </r>
  <r>
    <n v="66"/>
    <x v="66"/>
    <n v="28158"/>
    <x v="66"/>
    <x v="66"/>
  </r>
  <r>
    <n v="67"/>
    <x v="67"/>
    <n v="24786"/>
    <x v="67"/>
    <x v="67"/>
  </r>
  <r>
    <n v="68"/>
    <x v="68"/>
    <n v="15904"/>
    <x v="68"/>
    <x v="68"/>
  </r>
  <r>
    <n v="69"/>
    <x v="69"/>
    <n v="20167"/>
    <x v="69"/>
    <x v="69"/>
  </r>
  <r>
    <n v="70"/>
    <x v="70"/>
    <n v="20770"/>
    <x v="70"/>
    <x v="70"/>
  </r>
  <r>
    <n v="71"/>
    <x v="71"/>
    <n v="22116"/>
    <x v="71"/>
    <x v="71"/>
  </r>
  <r>
    <n v="72"/>
    <x v="72"/>
    <n v="28074"/>
    <x v="72"/>
    <x v="72"/>
  </r>
  <r>
    <n v="73"/>
    <x v="73"/>
    <n v="22788"/>
    <x v="73"/>
    <x v="73"/>
  </r>
  <r>
    <n v="74"/>
    <x v="74"/>
    <n v="17766"/>
    <x v="74"/>
    <x v="74"/>
  </r>
  <r>
    <n v="75"/>
    <x v="75"/>
    <n v="19359"/>
    <x v="75"/>
    <x v="75"/>
  </r>
  <r>
    <n v="76"/>
    <x v="76"/>
    <n v="20848"/>
    <x v="76"/>
    <x v="76"/>
  </r>
  <r>
    <n v="77"/>
    <x v="77"/>
    <n v="22395"/>
    <x v="77"/>
    <x v="77"/>
  </r>
  <r>
    <n v="78"/>
    <x v="78"/>
    <n v="21727"/>
    <x v="78"/>
    <x v="78"/>
  </r>
  <r>
    <n v="79"/>
    <x v="79"/>
    <n v="27347"/>
    <x v="79"/>
    <x v="79"/>
  </r>
  <r>
    <n v="80"/>
    <x v="80"/>
    <n v="23476"/>
    <x v="80"/>
    <x v="80"/>
  </r>
  <r>
    <n v="81"/>
    <x v="81"/>
    <n v="15968"/>
    <x v="81"/>
    <x v="81"/>
  </r>
  <r>
    <n v="82"/>
    <x v="82"/>
    <n v="14458"/>
    <x v="82"/>
    <x v="82"/>
  </r>
  <r>
    <n v="83"/>
    <x v="83"/>
    <n v="13638"/>
    <x v="83"/>
    <x v="83"/>
  </r>
  <r>
    <n v="84"/>
    <x v="84"/>
    <n v="16652"/>
    <x v="84"/>
    <x v="84"/>
  </r>
  <r>
    <n v="85"/>
    <x v="85"/>
    <n v="19825"/>
    <x v="85"/>
    <x v="85"/>
  </r>
  <r>
    <n v="86"/>
    <x v="86"/>
    <n v="24884"/>
    <x v="86"/>
    <x v="86"/>
  </r>
  <r>
    <n v="87"/>
    <x v="87"/>
    <n v="21716"/>
    <x v="87"/>
    <x v="87"/>
  </r>
  <r>
    <n v="88"/>
    <x v="88"/>
    <n v="17256"/>
    <x v="88"/>
    <x v="88"/>
  </r>
  <r>
    <n v="89"/>
    <x v="89"/>
    <n v="18275"/>
    <x v="89"/>
    <x v="89"/>
  </r>
  <r>
    <n v="90"/>
    <x v="90"/>
    <n v="19156"/>
    <x v="90"/>
    <x v="90"/>
  </r>
  <r>
    <n v="91"/>
    <x v="91"/>
    <n v="19228"/>
    <x v="91"/>
    <x v="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n v="15485"/>
    <n v="1309"/>
    <n v="3867"/>
  </r>
  <r>
    <x v="1"/>
    <n v="15847"/>
    <n v="1727"/>
    <n v="4752"/>
  </r>
  <r>
    <x v="2"/>
    <n v="20000"/>
    <n v="3413"/>
    <n v="4623"/>
  </r>
  <r>
    <x v="3"/>
    <n v="19956"/>
    <n v="3975"/>
    <n v="4155"/>
  </r>
  <r>
    <x v="4"/>
    <n v="16888"/>
    <n v="2836"/>
    <n v="3593"/>
  </r>
  <r>
    <x v="5"/>
    <n v="13802"/>
    <n v="1424"/>
    <n v="4247"/>
  </r>
  <r>
    <x v="6"/>
    <n v="13635"/>
    <n v="1202"/>
    <n v="4274"/>
  </r>
  <r>
    <x v="7"/>
    <n v="13772"/>
    <n v="1022"/>
    <n v="4237"/>
  </r>
  <r>
    <x v="8"/>
    <n v="17943"/>
    <n v="2052"/>
    <n v="4718"/>
  </r>
  <r>
    <x v="9"/>
    <n v="14972"/>
    <n v="2132"/>
    <n v="3840"/>
  </r>
  <r>
    <x v="10"/>
    <n v="7118"/>
    <n v="877"/>
    <n v="2563"/>
  </r>
  <r>
    <x v="11"/>
    <n v="11451"/>
    <n v="1251"/>
    <n v="3932"/>
  </r>
  <r>
    <x v="12"/>
    <n v="13562"/>
    <n v="1177"/>
    <n v="4301"/>
  </r>
  <r>
    <x v="13"/>
    <n v="15229"/>
    <n v="1453"/>
    <n v="4452"/>
  </r>
  <r>
    <x v="14"/>
    <n v="12506"/>
    <n v="999"/>
    <n v="3589"/>
  </r>
  <r>
    <x v="15"/>
    <n v="13287"/>
    <n v="1455"/>
    <n v="4799"/>
  </r>
  <r>
    <x v="16"/>
    <n v="22990"/>
    <n v="3478"/>
    <n v="5409"/>
  </r>
  <r>
    <x v="17"/>
    <n v="20008"/>
    <n v="2893"/>
    <n v="4452"/>
  </r>
  <r>
    <x v="18"/>
    <n v="13885"/>
    <n v="1596"/>
    <n v="4386"/>
  </r>
  <r>
    <x v="19"/>
    <n v="15191"/>
    <n v="1401"/>
    <n v="4995"/>
  </r>
  <r>
    <x v="20"/>
    <n v="15581"/>
    <n v="1252"/>
    <n v="4458"/>
  </r>
  <r>
    <x v="21"/>
    <n v="16512"/>
    <n v="1283"/>
    <n v="4191"/>
  </r>
  <r>
    <x v="22"/>
    <n v="15851"/>
    <n v="1670"/>
    <n v="4192"/>
  </r>
  <r>
    <x v="23"/>
    <n v="20906"/>
    <n v="2768"/>
    <n v="3648"/>
  </r>
  <r>
    <x v="24"/>
    <n v="20935"/>
    <n v="2725"/>
    <n v="3318"/>
  </r>
  <r>
    <x v="25"/>
    <n v="15793"/>
    <n v="1411"/>
    <n v="3117"/>
  </r>
  <r>
    <x v="26"/>
    <n v="16419"/>
    <n v="1195"/>
    <n v="3736"/>
  </r>
  <r>
    <x v="27"/>
    <n v="16836"/>
    <n v="1416"/>
    <n v="4001"/>
  </r>
  <r>
    <x v="28"/>
    <n v="17796"/>
    <n v="1451"/>
    <n v="3594"/>
  </r>
  <r>
    <x v="29"/>
    <n v="18034"/>
    <n v="1760"/>
    <n v="5123"/>
  </r>
  <r>
    <x v="30"/>
    <n v="23354"/>
    <n v="3095"/>
    <n v="4517"/>
  </r>
  <r>
    <x v="31"/>
    <n v="18934"/>
    <n v="2277"/>
    <n v="4390"/>
  </r>
  <r>
    <x v="32"/>
    <n v="14131"/>
    <n v="1300"/>
    <n v="4012"/>
  </r>
  <r>
    <x v="33"/>
    <n v="14494"/>
    <n v="1308"/>
    <n v="4757"/>
  </r>
  <r>
    <x v="34"/>
    <n v="15040"/>
    <n v="1257"/>
    <n v="4768"/>
  </r>
  <r>
    <x v="35"/>
    <n v="16063"/>
    <n v="1321"/>
    <n v="4543"/>
  </r>
  <r>
    <x v="36"/>
    <n v="16821"/>
    <n v="1604"/>
    <n v="4160"/>
  </r>
  <r>
    <x v="37"/>
    <n v="23098"/>
    <n v="2806"/>
    <n v="4563"/>
  </r>
  <r>
    <x v="38"/>
    <n v="17068"/>
    <n v="2067"/>
    <n v="3903"/>
  </r>
  <r>
    <x v="39"/>
    <n v="10127"/>
    <n v="696"/>
    <n v="3203"/>
  </r>
  <r>
    <x v="40"/>
    <n v="12518"/>
    <n v="883"/>
    <n v="3684"/>
  </r>
  <r>
    <x v="41"/>
    <n v="13418"/>
    <n v="882"/>
    <n v="3545"/>
  </r>
  <r>
    <x v="42"/>
    <n v="15542"/>
    <n v="1101"/>
    <n v="3667"/>
  </r>
  <r>
    <x v="43"/>
    <n v="18059"/>
    <n v="1783"/>
    <n v="4408"/>
  </r>
  <r>
    <x v="44"/>
    <n v="25712"/>
    <n v="2808"/>
    <n v="4173"/>
  </r>
  <r>
    <x v="45"/>
    <n v="20314"/>
    <n v="2378"/>
    <n v="4230"/>
  </r>
  <r>
    <x v="46"/>
    <n v="14029"/>
    <n v="1328"/>
    <n v="4186"/>
  </r>
  <r>
    <x v="47"/>
    <n v="15196"/>
    <n v="1117"/>
    <n v="4603"/>
  </r>
  <r>
    <x v="48"/>
    <n v="16010"/>
    <n v="1085"/>
    <n v="4034"/>
  </r>
  <r>
    <x v="49"/>
    <n v="15998"/>
    <n v="1189"/>
    <n v="3876"/>
  </r>
  <r>
    <x v="50"/>
    <n v="17335"/>
    <n v="1608"/>
    <n v="4582"/>
  </r>
  <r>
    <x v="51"/>
    <n v="20322"/>
    <n v="2272"/>
    <n v="3997"/>
  </r>
  <r>
    <x v="52"/>
    <n v="19863"/>
    <n v="2308"/>
    <n v="3652"/>
  </r>
  <r>
    <x v="53"/>
    <n v="14154"/>
    <n v="1125"/>
    <n v="4178"/>
  </r>
  <r>
    <x v="54"/>
    <n v="10330"/>
    <n v="566"/>
    <n v="3520"/>
  </r>
  <r>
    <x v="55"/>
    <n v="12518"/>
    <n v="633"/>
    <n v="3749"/>
  </r>
  <r>
    <x v="56"/>
    <n v="15937"/>
    <n v="1003"/>
    <n v="4758"/>
  </r>
  <r>
    <x v="57"/>
    <n v="16341"/>
    <n v="1304"/>
    <n v="4899"/>
  </r>
  <r>
    <x v="58"/>
    <n v="19433"/>
    <n v="1939"/>
    <n v="4341"/>
  </r>
  <r>
    <x v="59"/>
    <n v="14835"/>
    <n v="1459"/>
    <n v="3472"/>
  </r>
  <r>
    <x v="60"/>
    <n v="14122"/>
    <n v="927"/>
    <n v="3492"/>
  </r>
  <r>
    <x v="61"/>
    <n v="14067"/>
    <n v="731"/>
    <n v="4170"/>
  </r>
  <r>
    <x v="62"/>
    <n v="16182"/>
    <n v="749"/>
    <n v="4027"/>
  </r>
  <r>
    <x v="63"/>
    <n v="15692"/>
    <n v="907"/>
    <n v="4018"/>
  </r>
  <r>
    <x v="64"/>
    <n v="13984"/>
    <n v="1223"/>
    <n v="4284"/>
  </r>
  <r>
    <x v="65"/>
    <n v="16991"/>
    <n v="2253"/>
    <n v="4103"/>
  </r>
  <r>
    <x v="66"/>
    <n v="20745"/>
    <n v="2972"/>
    <n v="4441"/>
  </r>
  <r>
    <x v="67"/>
    <n v="18474"/>
    <n v="2224"/>
    <n v="4088"/>
  </r>
  <r>
    <x v="68"/>
    <n v="11481"/>
    <n v="647"/>
    <n v="3776"/>
  </r>
  <r>
    <x v="69"/>
    <n v="15526"/>
    <n v="773"/>
    <n v="3868"/>
  </r>
  <r>
    <x v="70"/>
    <n v="15696"/>
    <n v="769"/>
    <n v="4305"/>
  </r>
  <r>
    <x v="71"/>
    <n v="16696"/>
    <n v="1168"/>
    <n v="4252"/>
  </r>
  <r>
    <x v="72"/>
    <n v="21128"/>
    <n v="2245"/>
    <n v="4701"/>
  </r>
  <r>
    <x v="73"/>
    <n v="17350"/>
    <n v="1777"/>
    <n v="3661"/>
  </r>
  <r>
    <x v="74"/>
    <n v="12899"/>
    <n v="876"/>
    <n v="3991"/>
  </r>
  <r>
    <x v="75"/>
    <n v="14644"/>
    <n v="762"/>
    <n v="3953"/>
  </r>
  <r>
    <x v="76"/>
    <n v="16515"/>
    <n v="806"/>
    <n v="3527"/>
  </r>
  <r>
    <x v="77"/>
    <n v="17270"/>
    <n v="979"/>
    <n v="4146"/>
  </r>
  <r>
    <x v="78"/>
    <n v="16408"/>
    <n v="1363"/>
    <n v="3956"/>
  </r>
  <r>
    <x v="79"/>
    <n v="20523"/>
    <n v="2435"/>
    <n v="4389"/>
  </r>
  <r>
    <x v="80"/>
    <n v="17711"/>
    <n v="1812"/>
    <n v="3953"/>
  </r>
  <r>
    <x v="81"/>
    <n v="11476"/>
    <n v="675"/>
    <n v="3817"/>
  </r>
  <r>
    <x v="82"/>
    <n v="10455"/>
    <n v="393"/>
    <n v="3610"/>
  </r>
  <r>
    <x v="83"/>
    <n v="10038"/>
    <n v="297"/>
    <n v="3303"/>
  </r>
  <r>
    <x v="84"/>
    <n v="12253"/>
    <n v="428"/>
    <n v="3971"/>
  </r>
  <r>
    <x v="85"/>
    <n v="14473"/>
    <n v="946"/>
    <n v="4406"/>
  </r>
  <r>
    <x v="86"/>
    <n v="18108"/>
    <n v="1948"/>
    <n v="4828"/>
  </r>
  <r>
    <x v="87"/>
    <n v="15327"/>
    <n v="1638"/>
    <n v="4751"/>
  </r>
  <r>
    <x v="88"/>
    <n v="12107"/>
    <n v="677"/>
    <n v="4472"/>
  </r>
  <r>
    <x v="89"/>
    <n v="12845"/>
    <n v="525"/>
    <n v="4905"/>
  </r>
  <r>
    <x v="90"/>
    <n v="14143"/>
    <n v="507"/>
    <n v="4506"/>
  </r>
  <r>
    <x v="91"/>
    <n v="13937"/>
    <n v="563"/>
    <n v="472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n v="29.466650495903409"/>
    <n v="13.349374908505343"/>
  </r>
  <r>
    <x v="1"/>
    <n v="32.851572741104874"/>
    <n v="13.566652947990976"/>
  </r>
  <r>
    <x v="2"/>
    <n v="40.504480296408211"/>
    <n v="16.087460100319198"/>
  </r>
  <r>
    <x v="3"/>
    <n v="44.346414787219764"/>
    <n v="17.003435903673072"/>
  </r>
  <r>
    <x v="4"/>
    <n v="45.760072957533211"/>
    <n v="15.813753603398574"/>
  </r>
  <r>
    <x v="5"/>
    <n v="28.117864206854389"/>
    <n v="13.052182150790541"/>
  </r>
  <r>
    <x v="6"/>
    <n v="30.380295118743714"/>
    <n v="13.081111217001812"/>
  </r>
  <r>
    <x v="7"/>
    <n v="47.753671226470246"/>
    <n v="12.694497995800726"/>
  </r>
  <r>
    <x v="8"/>
    <n v="34.491681607649788"/>
    <n v="14.005804714399224"/>
  </r>
  <r>
    <x v="9"/>
    <n v="36.018163696060036"/>
    <n v="14.835823519790644"/>
  </r>
  <r>
    <x v="10"/>
    <n v="29.987496348232543"/>
    <n v="13.302407445566317"/>
  </r>
  <r>
    <x v="11"/>
    <n v="34.274294415771607"/>
    <n v="12.357154428596584"/>
  </r>
  <r>
    <x v="12"/>
    <n v="29.370192347043176"/>
    <n v="12.942602111060118"/>
  </r>
  <r>
    <x v="13"/>
    <n v="28.693293198141106"/>
    <n v="13.143829647408422"/>
  </r>
  <r>
    <x v="14"/>
    <n v="27.206832160715077"/>
    <n v="12.51284384478611"/>
  </r>
  <r>
    <x v="15"/>
    <n v="33.332505121141487"/>
    <n v="12.802251806394139"/>
  </r>
  <r>
    <x v="16"/>
    <n v="33.097157399641489"/>
    <n v="15.420022111187686"/>
  </r>
  <r>
    <x v="17"/>
    <n v="36.468979599736777"/>
    <n v="16.026724903760734"/>
  </r>
  <r>
    <x v="18"/>
    <n v="33.450839251129757"/>
    <n v="13.434958542198684"/>
  </r>
  <r>
    <x v="19"/>
    <n v="27.051804334491923"/>
    <n v="13.044371029224903"/>
  </r>
  <r>
    <x v="20"/>
    <n v="25.470111741815714"/>
    <n v="13.172753889911327"/>
  </r>
  <r>
    <x v="21"/>
    <n v="27.464183312950126"/>
    <n v="13.105136629976451"/>
  </r>
  <r>
    <x v="22"/>
    <n v="29.232403031654037"/>
    <n v="13.149249063313649"/>
  </r>
  <r>
    <x v="23"/>
    <n v="34.134711021505382"/>
    <n v="14.744278257378037"/>
  </r>
  <r>
    <x v="24"/>
    <n v="31.884530342798062"/>
    <n v="15.28994517329156"/>
  </r>
  <r>
    <x v="25"/>
    <n v="29.553394075021313"/>
    <n v="13.044279357532535"/>
  </r>
  <r>
    <x v="26"/>
    <n v="28.314637301171121"/>
    <n v="12.823767809281987"/>
  </r>
  <r>
    <x v="27"/>
    <n v="30.676653690340547"/>
    <n v="12.979506868014674"/>
  </r>
  <r>
    <x v="28"/>
    <n v="26.490457236170649"/>
    <n v="13.412481741162722"/>
  </r>
  <r>
    <x v="29"/>
    <n v="26.619006482083908"/>
    <n v="13.053099061710572"/>
  </r>
  <r>
    <x v="30"/>
    <n v="33.701569461827283"/>
    <n v="15.809274254693234"/>
  </r>
  <r>
    <x v="31"/>
    <n v="35.240894709809965"/>
    <n v="15.432526308304892"/>
  </r>
  <r>
    <x v="32"/>
    <n v="28.326825379371012"/>
    <n v="13.393675717460624"/>
  </r>
  <r>
    <x v="33"/>
    <n v="30.39238676401148"/>
    <n v="13.067469103262461"/>
  </r>
  <r>
    <x v="34"/>
    <n v="25.817631513603633"/>
    <n v="13.134426065592503"/>
  </r>
  <r>
    <x v="35"/>
    <n v="25.761893924720766"/>
    <n v="13.283709737666294"/>
  </r>
  <r>
    <x v="36"/>
    <n v="28.75028831689788"/>
    <n v="13.067894026430613"/>
  </r>
  <r>
    <x v="37"/>
    <n v="30.577686268472902"/>
    <n v="15.493098946473571"/>
  </r>
  <r>
    <x v="38"/>
    <n v="32.01471922858763"/>
    <n v="15.492494963062459"/>
  </r>
  <r>
    <x v="39"/>
    <n v="27.324556246150401"/>
    <n v="11.978178289772492"/>
  </r>
  <r>
    <x v="40"/>
    <n v="25.18682322243966"/>
    <n v="12.341402342832207"/>
  </r>
  <r>
    <x v="41"/>
    <n v="26.300180786306012"/>
    <n v="12.752663636937449"/>
  </r>
  <r>
    <x v="42"/>
    <n v="25.508872258833165"/>
    <n v="12.909188165888878"/>
  </r>
  <r>
    <x v="43"/>
    <n v="26.713615764344098"/>
    <n v="13.415272289021555"/>
  </r>
  <r>
    <x v="44"/>
    <n v="32.262842716402687"/>
    <n v="16.242298406566874"/>
  </r>
  <r>
    <x v="45"/>
    <n v="32.161054068369801"/>
    <n v="16.213000315656565"/>
  </r>
  <r>
    <x v="46"/>
    <n v="30.621708763872942"/>
    <n v="13.21813440413551"/>
  </r>
  <r>
    <x v="47"/>
    <n v="25.719827813571456"/>
    <n v="12.95916949761096"/>
  </r>
  <r>
    <x v="48"/>
    <n v="25.350192455735179"/>
    <n v="12.861005871275065"/>
  </r>
  <r>
    <x v="49"/>
    <n v="25.33521417813737"/>
    <n v="12.681524626133148"/>
  </r>
  <r>
    <x v="50"/>
    <n v="27.929048572191085"/>
    <n v="13.154315058148317"/>
  </r>
  <r>
    <x v="51"/>
    <n v="29.107064554201923"/>
    <n v="15.094653169486973"/>
  </r>
  <r>
    <x v="52"/>
    <n v="32.255937057468351"/>
    <n v="16.264857739753282"/>
  </r>
  <r>
    <x v="53"/>
    <n v="29.966696193063264"/>
    <n v="12.637205034880195"/>
  </r>
  <r>
    <x v="54"/>
    <n v="24.139682239455269"/>
    <n v="11.248097637565268"/>
  </r>
  <r>
    <x v="55"/>
    <n v="22.509675033159883"/>
    <n v="12.139316033185413"/>
  </r>
  <r>
    <x v="56"/>
    <n v="26.029675012377115"/>
    <n v="12.704819915254236"/>
  </r>
  <r>
    <x v="57"/>
    <n v="24.898153363255009"/>
    <n v="13.089348001073249"/>
  </r>
  <r>
    <x v="58"/>
    <n v="28.032748405722167"/>
    <n v="14.745475702242619"/>
  </r>
  <r>
    <x v="59"/>
    <n v="29.781798907903969"/>
    <n v="14.328289399253309"/>
  </r>
  <r>
    <x v="60"/>
    <n v="25.019040132756889"/>
    <n v="12.639214338100476"/>
  </r>
  <r>
    <x v="61"/>
    <n v="21.914130636913065"/>
    <n v="12.51167005707182"/>
  </r>
  <r>
    <x v="62"/>
    <n v="23.001405744336569"/>
    <n v="12.806745033286155"/>
  </r>
  <r>
    <x v="63"/>
    <n v="26.438396047130368"/>
    <n v="12.620680341014603"/>
  </r>
  <r>
    <x v="64"/>
    <n v="27.596215314365999"/>
    <n v="12.870489617704896"/>
  </r>
  <r>
    <x v="65"/>
    <n v="32.334887725582036"/>
    <n v="14.539334390455696"/>
  </r>
  <r>
    <x v="66"/>
    <n v="40.656107831143729"/>
    <n v="16.900762352605891"/>
  </r>
  <r>
    <x v="67"/>
    <n v="36.419224781057409"/>
    <n v="16.294746202824317"/>
  </r>
  <r>
    <x v="68"/>
    <n v="22.498244742507037"/>
    <n v="11.673627301909105"/>
  </r>
  <r>
    <x v="69"/>
    <n v="24.726527220135562"/>
    <n v="12.723658203438855"/>
  </r>
  <r>
    <x v="70"/>
    <n v="23.256725005029171"/>
    <n v="12.377531704712322"/>
  </r>
  <r>
    <x v="71"/>
    <n v="26.162476840565578"/>
    <n v="13.286183008740128"/>
  </r>
  <r>
    <x v="72"/>
    <n v="31.111440459167461"/>
    <n v="14.573262474165928"/>
  </r>
  <r>
    <x v="73"/>
    <n v="30.530401609573826"/>
    <n v="14.413574585451768"/>
  </r>
  <r>
    <x v="74"/>
    <n v="27.321467863346847"/>
    <n v="12.480576533431572"/>
  </r>
  <r>
    <x v="75"/>
    <n v="22.455029502669287"/>
    <n v="12.118137134765679"/>
  </r>
  <r>
    <x v="76"/>
    <n v="26.546563552957416"/>
    <n v="12.473352061406979"/>
  </r>
  <r>
    <x v="77"/>
    <n v="24.822055918812151"/>
    <n v="13.126633351841571"/>
  </r>
  <r>
    <x v="78"/>
    <n v="28.210421141096276"/>
    <n v="13.246327222121376"/>
  </r>
  <r>
    <x v="79"/>
    <n v="30.789920712170986"/>
    <n v="15.42005225043542"/>
  </r>
  <r>
    <x v="80"/>
    <n v="29.694717337596281"/>
    <n v="15.526770640312948"/>
  </r>
  <r>
    <x v="81"/>
    <n v="22.868666227202816"/>
    <n v="12.033747474747475"/>
  </r>
  <r>
    <x v="82"/>
    <n v="21.587727616299045"/>
    <n v="11.289950036431769"/>
  </r>
  <r>
    <x v="83"/>
    <n v="18.31973095898859"/>
    <n v="11.016845608761004"/>
  </r>
  <r>
    <x v="84"/>
    <n v="19.615942028985508"/>
    <n v="11.624977785948463"/>
  </r>
  <r>
    <x v="85"/>
    <n v="24.846150255778351"/>
    <n v="12.947514834526212"/>
  </r>
  <r>
    <x v="86"/>
    <n v="28.108610039496646"/>
    <n v="14.491155478395061"/>
  </r>
  <r>
    <x v="87"/>
    <n v="30.399690849134377"/>
    <n v="14.727168092356909"/>
  </r>
  <r>
    <x v="88"/>
    <n v="25.062414244566639"/>
    <n v="11.954318550485111"/>
  </r>
  <r>
    <x v="89"/>
    <n v="22.035331221958302"/>
    <n v="12.028421125975473"/>
  </r>
  <r>
    <x v="90"/>
    <n v="21.19149158098644"/>
    <n v="12.22993303870363"/>
  </r>
  <r>
    <x v="91"/>
    <n v="21.315132526649379"/>
    <n v="11.96185088718866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n v="17.494288020665159"/>
    <n v="70.035370511841109"/>
    <n v="16.224446168433754"/>
  </r>
  <r>
    <x v="1"/>
    <n v="19.122614164615804"/>
    <n v="79.409698899826282"/>
    <n v="17.341389590347926"/>
  </r>
  <r>
    <x v="2"/>
    <n v="24.486078333333332"/>
    <n v="90.807378650258812"/>
    <n v="22.474911673516473"/>
  </r>
  <r>
    <x v="3"/>
    <n v="26.277956504309483"/>
    <n v="100.84205450733754"/>
    <n v="22.972170076213398"/>
  </r>
  <r>
    <x v="4"/>
    <n v="23.848994354966049"/>
    <n v="113.08151739539258"/>
    <n v="22.365256517302161"/>
  </r>
  <r>
    <x v="5"/>
    <n v="17.620079215572623"/>
    <n v="56.320154494382017"/>
    <n v="16.580342987206652"/>
  </r>
  <r>
    <x v="6"/>
    <n v="17.366961251680724"/>
    <n v="76.471991125901269"/>
    <n v="16.462244579628763"/>
  </r>
  <r>
    <x v="7"/>
    <n v="16.445789766676349"/>
    <n v="246.21293215916504"/>
    <n v="14.94667610730863"/>
  </r>
  <r>
    <x v="8"/>
    <n v="19.788279551914393"/>
    <n v="88.075560428849911"/>
    <n v="17.922265790589233"/>
  </r>
  <r>
    <x v="9"/>
    <n v="20.885851366996171"/>
    <n v="92.02266260162601"/>
    <n v="18.955911458333333"/>
  </r>
  <r>
    <x v="10"/>
    <n v="17.671454996721927"/>
    <n v="80.122424933485362"/>
    <n v="15.443802835219145"/>
  </r>
  <r>
    <x v="11"/>
    <n v="16.926796786306873"/>
    <n v="87.760924593658416"/>
    <n v="15.019129365886741"/>
  </r>
  <r>
    <x v="12"/>
    <n v="17.096711399498599"/>
    <n v="69.742580005664109"/>
    <n v="15.409730295280168"/>
  </r>
  <r>
    <x v="13"/>
    <n v="17.155848490817956"/>
    <n v="63.784331268639598"/>
    <n v="15.961133572926025"/>
  </r>
  <r>
    <x v="14"/>
    <n v="15.736659736659735"/>
    <n v="74.85994327660994"/>
    <n v="14.76640196897929"/>
  </r>
  <r>
    <x v="15"/>
    <n v="16.739735581144476"/>
    <n v="101.10797250859108"/>
    <n v="15.503306244356464"/>
  </r>
  <r>
    <x v="16"/>
    <n v="22.826607945483545"/>
    <n v="61.680654590760966"/>
    <n v="20.434991064275589"/>
  </r>
  <r>
    <x v="17"/>
    <n v="23.166754131680662"/>
    <n v="78.113619080539237"/>
    <n v="22.671248876909253"/>
  </r>
  <r>
    <x v="18"/>
    <n v="18.145441123514583"/>
    <n v="80.064129072681709"/>
    <n v="16.691317069463445"/>
  </r>
  <r>
    <x v="19"/>
    <n v="17.00565795536831"/>
    <n v="58.312836069474187"/>
    <n v="15.731795128461794"/>
  </r>
  <r>
    <x v="20"/>
    <n v="16.743222514601115"/>
    <n v="51.011435037273692"/>
    <n v="15.823029759234336"/>
  </r>
  <r>
    <x v="21"/>
    <n v="16.91978460109819"/>
    <n v="63.367848791893998"/>
    <n v="16.306386701662291"/>
  </r>
  <r>
    <x v="22"/>
    <n v="18.23888818791664"/>
    <n v="64.308622754491012"/>
    <n v="16.551097328244275"/>
  </r>
  <r>
    <x v="23"/>
    <n v="21.645012596064927"/>
    <n v="78.634332851637765"/>
    <n v="18.994138340643275"/>
  </r>
  <r>
    <x v="24"/>
    <n v="22.052830984794205"/>
    <n v="57.825700305810393"/>
    <n v="21.528847699417316"/>
  </r>
  <r>
    <x v="25"/>
    <n v="17.996709512653286"/>
    <n v="59.529293645168906"/>
    <n v="16.610993476633514"/>
  </r>
  <r>
    <x v="26"/>
    <n v="17.187391639766936"/>
    <n v="68.509595536959566"/>
    <n v="15.370485367594576"/>
  </r>
  <r>
    <x v="27"/>
    <n v="17.169636493228797"/>
    <n v="87.290901600753301"/>
    <n v="15.632941764558861"/>
  </r>
  <r>
    <x v="28"/>
    <n v="17.300320296695887"/>
    <n v="61.538996094647366"/>
    <n v="16.327003338898162"/>
  </r>
  <r>
    <x v="29"/>
    <n v="18.59997412295294"/>
    <n v="51.091875000000002"/>
    <n v="17.089133970980544"/>
  </r>
  <r>
    <x v="30"/>
    <n v="22.845015843110389"/>
    <n v="72.368492191707062"/>
    <n v="19.801992472880233"/>
  </r>
  <r>
    <x v="31"/>
    <n v="22.735587655364245"/>
    <n v="86.144071146245054"/>
    <n v="20.467703113135915"/>
  </r>
  <r>
    <x v="32"/>
    <n v="18.353599650885759"/>
    <n v="52.566294871794874"/>
    <n v="17.079860418743767"/>
  </r>
  <r>
    <x v="33"/>
    <n v="17.57683754197139"/>
    <n v="70.953707951070328"/>
    <n v="16.833872889075749"/>
  </r>
  <r>
    <x v="34"/>
    <n v="17.056747562056739"/>
    <n v="49.936581808538847"/>
    <n v="16.056417785234899"/>
  </r>
  <r>
    <x v="35"/>
    <n v="17.318114092427731"/>
    <n v="50.418798889730006"/>
    <n v="16.583212267958032"/>
  </r>
  <r>
    <x v="36"/>
    <n v="18.492263638705584"/>
    <n v="64.786450540315869"/>
    <n v="16.302423878205126"/>
  </r>
  <r>
    <x v="37"/>
    <n v="22.57051332005657"/>
    <n v="54.845848182466149"/>
    <n v="19.891631967272993"/>
  </r>
  <r>
    <x v="38"/>
    <n v="21.9292262323256"/>
    <n v="66.057289146911785"/>
    <n v="20.270842941327185"/>
  </r>
  <r>
    <x v="39"/>
    <n v="15.614994568974028"/>
    <n v="75.346288314176235"/>
    <n v="15.23223540430846"/>
  </r>
  <r>
    <x v="40"/>
    <n v="15.540199446130906"/>
    <n v="61.04966024915062"/>
    <n v="14.742110025334782"/>
  </r>
  <r>
    <x v="41"/>
    <n v="15.514910319471358"/>
    <n v="75.264512471655337"/>
    <n v="14.577005171603195"/>
  </r>
  <r>
    <x v="42"/>
    <n v="16.686112898382877"/>
    <n v="51.741765062064793"/>
    <n v="16.004181438051088"/>
  </r>
  <r>
    <x v="43"/>
    <n v="18.278070952618272"/>
    <n v="47.397223780145822"/>
    <n v="17.02700771324864"/>
  </r>
  <r>
    <x v="44"/>
    <n v="23.018318943165319"/>
    <n v="63.48482905982906"/>
    <n v="20.509325824746387"/>
  </r>
  <r>
    <x v="45"/>
    <n v="22.875226444816381"/>
    <n v="58.960646201289592"/>
    <n v="21.875338849487786"/>
  </r>
  <r>
    <x v="46"/>
    <n v="17.696386057452422"/>
    <n v="70.742382028112445"/>
    <n v="16.17263497372193"/>
  </r>
  <r>
    <x v="47"/>
    <n v="17.000957488812844"/>
    <n v="49.324709042076989"/>
    <n v="15.31724599898617"/>
  </r>
  <r>
    <x v="48"/>
    <n v="16.596153445763065"/>
    <n v="52.75933947772657"/>
    <n v="15.457626838539085"/>
  </r>
  <r>
    <x v="49"/>
    <n v="16.745277534691837"/>
    <n v="51.084482758620688"/>
    <n v="15.197553319573444"/>
  </r>
  <r>
    <x v="50"/>
    <n v="18.312743966926259"/>
    <n v="60.911598258706462"/>
    <n v="17.152862650953004"/>
  </r>
  <r>
    <x v="51"/>
    <n v="21.62134222353443"/>
    <n v="51.925007335680753"/>
    <n v="19.391593695271453"/>
  </r>
  <r>
    <x v="52"/>
    <n v="23.531800332276092"/>
    <n v="54.121967071057192"/>
    <n v="21.872147681635631"/>
  </r>
  <r>
    <x v="53"/>
    <n v="17.252226696811267"/>
    <n v="70.283496296296292"/>
    <n v="16.599796553374819"/>
  </r>
  <r>
    <x v="54"/>
    <n v="14.607000645369475"/>
    <n v="61.728209658421669"/>
    <n v="12.636903409090909"/>
  </r>
  <r>
    <x v="55"/>
    <n v="14.93064520423923"/>
    <n v="55.30545023696682"/>
    <n v="13.604747932782075"/>
  </r>
  <r>
    <x v="56"/>
    <n v="16.512113321202232"/>
    <n v="65.601827849783973"/>
    <n v="15.199050721591703"/>
  </r>
  <r>
    <x v="57"/>
    <n v="17.348585357893235"/>
    <n v="52.255112474437631"/>
    <n v="15.8472783561271"/>
  </r>
  <r>
    <x v="58"/>
    <n v="20.615489974099042"/>
    <n v="52.057220216606495"/>
    <n v="19.159487061352991"/>
  </r>
  <r>
    <x v="59"/>
    <n v="20.175624087181216"/>
    <n v="59.818243088873658"/>
    <n v="18.863268049155145"/>
  </r>
  <r>
    <x v="60"/>
    <n v="16.329411556436767"/>
    <n v="47.385922330097088"/>
    <n v="15.55217163039328"/>
  </r>
  <r>
    <x v="61"/>
    <n v="15.120415393000165"/>
    <n v="45.33686730506156"/>
    <n v="14.123948840927259"/>
  </r>
  <r>
    <x v="62"/>
    <n v="15.908869937790962"/>
    <n v="47.938473520249218"/>
    <n v="14.667126065723037"/>
  </r>
  <r>
    <x v="63"/>
    <n v="15.876114155833122"/>
    <n v="76.896692392502757"/>
    <n v="15.557155301144849"/>
  </r>
  <r>
    <x v="64"/>
    <n v="17.324294431731502"/>
    <n v="68.416775688198413"/>
    <n v="15.095518207282913"/>
  </r>
  <r>
    <x v="65"/>
    <n v="21.561884723284876"/>
    <n v="66.446382600976477"/>
    <n v="19.922983183036802"/>
  </r>
  <r>
    <x v="66"/>
    <n v="25.46075198843095"/>
    <n v="96.429262000897268"/>
    <n v="24.26139383021842"/>
  </r>
  <r>
    <x v="67"/>
    <n v="24.218046082783012"/>
    <n v="78.095136390887291"/>
    <n v="22.752605185909978"/>
  </r>
  <r>
    <x v="68"/>
    <n v="14.787599802572364"/>
    <n v="49.980834621329208"/>
    <n v="12.953707627118643"/>
  </r>
  <r>
    <x v="69"/>
    <n v="15.854778006784318"/>
    <n v="61.998878827080645"/>
    <n v="14.267256980351602"/>
  </r>
  <r>
    <x v="70"/>
    <n v="15.4176000254842"/>
    <n v="56.522366710013003"/>
    <n v="14.344970963995355"/>
  </r>
  <r>
    <x v="71"/>
    <n v="17.242463264654209"/>
    <n v="61.522531392694063"/>
    <n v="15.556240200689871"/>
  </r>
  <r>
    <x v="72"/>
    <n v="21.2889025621608"/>
    <n v="65.495426874536008"/>
    <n v="19.118779692264056"/>
  </r>
  <r>
    <x v="73"/>
    <n v="20.663416906820366"/>
    <n v="60.670859125867565"/>
    <n v="18.502185195301831"/>
  </r>
  <r>
    <x v="74"/>
    <n v="16.090602630694885"/>
    <n v="64.890506088280063"/>
    <n v="14.997252150672345"/>
  </r>
  <r>
    <x v="75"/>
    <n v="14.882262360010927"/>
    <n v="45.584361329833769"/>
    <n v="14.040446074711189"/>
  </r>
  <r>
    <x v="76"/>
    <n v="15.566958320718539"/>
    <n v="82.024317617866018"/>
    <n v="14.85672431717229"/>
  </r>
  <r>
    <x v="77"/>
    <n v="16.678739625554911"/>
    <n v="59.68741913517195"/>
    <n v="14.946920726804953"/>
  </r>
  <r>
    <x v="78"/>
    <n v="18.212239964245086"/>
    <n v="62.687662020053807"/>
    <n v="16.123285305021909"/>
  </r>
  <r>
    <x v="79"/>
    <n v="22.181420032808717"/>
    <n v="54.612279260780284"/>
    <n v="19.624489253436622"/>
  </r>
  <r>
    <x v="80"/>
    <n v="22.139712607983739"/>
    <n v="50.046090875643856"/>
    <n v="19.39938864997049"/>
  </r>
  <r>
    <x v="81"/>
    <n v="15.322101196700359"/>
    <n v="43.594938271604939"/>
    <n v="13.790450615666755"/>
  </r>
  <r>
    <x v="82"/>
    <n v="13.24013868962219"/>
    <n v="73.872094995759113"/>
    <n v="12.666823638042473"/>
  </r>
  <r>
    <x v="83"/>
    <n v="12.904622434747958"/>
    <n v="45.080808080808083"/>
    <n v="11.777116762539105"/>
  </r>
  <r>
    <x v="84"/>
    <n v="13.92550803884763"/>
    <n v="41.59345794392523"/>
    <n v="12.913552421724168"/>
  </r>
  <r>
    <x v="85"/>
    <n v="17.028885971579264"/>
    <n v="55.25158562367865"/>
    <n v="14.56571342109245"/>
  </r>
  <r>
    <x v="86"/>
    <n v="20.205087070171565"/>
    <n v="52.853285420944559"/>
    <n v="18.524640983153823"/>
  </r>
  <r>
    <x v="87"/>
    <n v="21.086179073965333"/>
    <n v="59.817266992266994"/>
    <n v="18.681189924928084"/>
  </r>
  <r>
    <x v="88"/>
    <n v="15.441319071611463"/>
    <n v="59.525110782865582"/>
    <n v="13.969186046511627"/>
  </r>
  <r>
    <x v="89"/>
    <n v="14.859652264175425"/>
    <n v="51.804539682539684"/>
    <n v="13.240248046211349"/>
  </r>
  <r>
    <x v="90"/>
    <n v="14.753429258290319"/>
    <n v="46.430341880341885"/>
    <n v="13.808185382453026"/>
  </r>
  <r>
    <x v="91"/>
    <n v="14.657750352777978"/>
    <n v="44.294020130254587"/>
    <n v="13.89812817258883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0"/>
    <x v="0"/>
    <n v="289273"/>
    <n v="146821"/>
    <n v="142452"/>
  </r>
  <r>
    <n v="1"/>
    <x v="1"/>
    <n v="246925"/>
    <n v="114989"/>
    <n v="131936"/>
  </r>
  <r>
    <n v="2"/>
    <x v="2"/>
    <n v="358261"/>
    <n v="223075"/>
    <n v="135186"/>
  </r>
  <r>
    <n v="3"/>
    <x v="3"/>
    <n v="310263"/>
    <n v="190394"/>
    <n v="119869"/>
  </r>
  <r>
    <n v="4"/>
    <x v="4"/>
    <n v="286273"/>
    <n v="124385"/>
    <n v="161888"/>
  </r>
  <r>
    <n v="5"/>
    <x v="5"/>
    <n v="241390"/>
    <n v="98689"/>
    <n v="142701"/>
  </r>
  <r>
    <n v="6"/>
    <x v="6"/>
    <n v="255495"/>
    <n v="105469"/>
    <n v="150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98DACA-1399-46E3-8419-825FEFC0F3F3}"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F3:I6" firstHeaderRow="0" firstDataRow="1" firstDataCol="1"/>
  <pivotFields count="6">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numFmtId="1" showAll="0"/>
    <pivotField dataField="1" numFmtId="1" showAll="0"/>
    <pivotField dataField="1"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3">
    <i>
      <x v="7"/>
    </i>
    <i>
      <x v="8"/>
    </i>
    <i>
      <x v="9"/>
    </i>
  </rowItems>
  <colFields count="1">
    <field x="-2"/>
  </colFields>
  <colItems count="3">
    <i>
      <x/>
    </i>
    <i i="1">
      <x v="1"/>
    </i>
    <i i="2">
      <x v="2"/>
    </i>
  </colItems>
  <dataFields count="3">
    <dataField name="ClassicBike_duration" fld="1" baseField="0" baseItem="0" numFmtId="1"/>
    <dataField name="DockedBike_duration" fld="2" baseField="0" baseItem="0" numFmtId="1"/>
    <dataField name="ElectricBike_duration" fld="3"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 chart="4"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20910-D2C4-4DB9-ACD2-B3FBB5CBDCB9}"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nth">
  <location ref="E3:G7" firstHeaderRow="0" firstDataRow="1" firstDataCol="1"/>
  <pivotFields count="5">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numFmtId="1" showAll="0"/>
    <pivotField dataField="1" numFmtI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7"/>
    </i>
    <i>
      <x v="8"/>
    </i>
    <i>
      <x v="9"/>
    </i>
    <i t="grand">
      <x/>
    </i>
  </rowItems>
  <colFields count="1">
    <field x="-2"/>
  </colFields>
  <colItems count="2">
    <i>
      <x/>
    </i>
    <i i="1">
      <x v="1"/>
    </i>
  </colItems>
  <dataFields count="2">
    <dataField name="CasualRide_Minutes" fld="1" baseField="4" baseItem="7" numFmtId="1"/>
    <dataField name="MemberRide_Minutes" fld="2" baseField="4" baseItem="7"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9DFCB-9498-49DE-83A1-0AAE933C1B4B}"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I7" firstHeaderRow="0" firstDataRow="1" firstDataCol="1"/>
  <pivotFields count="6">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v="7"/>
    </i>
    <i>
      <x v="8"/>
    </i>
    <i>
      <x v="9"/>
    </i>
    <i t="grand">
      <x/>
    </i>
  </rowItems>
  <colFields count="1">
    <field x="-2"/>
  </colFields>
  <colItems count="3">
    <i>
      <x/>
    </i>
    <i i="1">
      <x v="1"/>
    </i>
    <i i="2">
      <x v="2"/>
    </i>
  </colItems>
  <dataFields count="3">
    <dataField name="Classicbike_Count" fld="1" baseField="5" baseItem="7"/>
    <dataField name="Dockedbike_Count" fld="2" baseField="5" baseItem="7"/>
    <dataField name="Electricbike_Count" fld="3" baseField="5"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1AC64-0368-4AF4-B93A-6A695CA1FE7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Month">
  <location ref="F24:I28" firstHeaderRow="0" firstDataRow="1" firstDataCol="1"/>
  <pivotFields count="7">
    <pivotField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h="1" x="5"/>
        <item h="1" x="6"/>
        <item x="7"/>
        <item x="8"/>
        <item x="9"/>
        <item h="1" x="10"/>
        <item h="1" x="11"/>
        <item h="1" x="12"/>
        <item h="1" x="13"/>
        <item t="default"/>
      </items>
    </pivotField>
  </pivotFields>
  <rowFields count="1">
    <field x="6"/>
  </rowFields>
  <rowItems count="4">
    <i>
      <x v="7"/>
    </i>
    <i>
      <x v="8"/>
    </i>
    <i>
      <x v="9"/>
    </i>
    <i t="grand">
      <x/>
    </i>
  </rowItems>
  <colFields count="1">
    <field x="-2"/>
  </colFields>
  <colItems count="3">
    <i>
      <x/>
    </i>
    <i i="1">
      <x v="1"/>
    </i>
    <i i="2">
      <x v="2"/>
    </i>
  </colItems>
  <dataFields count="3">
    <dataField name="RideCount" fld="2" baseField="0" baseItem="0"/>
    <dataField name="CasualCount" fld="3" baseField="0" baseItem="0"/>
    <dataField name="MemberCount" fld="4" baseField="0" baseItem="0"/>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82FFEB-7700-4382-AA78-0AA94085E95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D40" firstHeaderRow="0" firstDataRow="1" firstDataCol="1"/>
  <pivotFields count="7">
    <pivotField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showAll="0"/>
    <pivotField dataField="1" showAll="0">
      <items count="93">
        <item x="83"/>
        <item x="82"/>
        <item x="54"/>
        <item x="10"/>
        <item x="84"/>
        <item x="39"/>
        <item x="68"/>
        <item x="81"/>
        <item x="89"/>
        <item x="88"/>
        <item x="55"/>
        <item x="90"/>
        <item x="74"/>
        <item x="91"/>
        <item x="75"/>
        <item x="40"/>
        <item x="11"/>
        <item x="61"/>
        <item x="41"/>
        <item x="14"/>
        <item x="60"/>
        <item x="69"/>
        <item x="12"/>
        <item x="76"/>
        <item x="62"/>
        <item x="70"/>
        <item x="53"/>
        <item x="7"/>
        <item x="6"/>
        <item x="46"/>
        <item x="63"/>
        <item x="47"/>
        <item x="85"/>
        <item x="42"/>
        <item x="48"/>
        <item x="32"/>
        <item x="33"/>
        <item x="5"/>
        <item x="0"/>
        <item x="18"/>
        <item x="20"/>
        <item x="25"/>
        <item x="34"/>
        <item x="56"/>
        <item x="15"/>
        <item x="13"/>
        <item x="64"/>
        <item x="49"/>
        <item x="26"/>
        <item x="19"/>
        <item x="77"/>
        <item x="21"/>
        <item x="71"/>
        <item x="35"/>
        <item x="27"/>
        <item x="78"/>
        <item x="59"/>
        <item x="22"/>
        <item x="57"/>
        <item x="1"/>
        <item x="28"/>
        <item x="36"/>
        <item x="87"/>
        <item x="43"/>
        <item x="50"/>
        <item x="73"/>
        <item x="9"/>
        <item x="8"/>
        <item x="80"/>
        <item x="29"/>
        <item x="38"/>
        <item x="86"/>
        <item x="65"/>
        <item x="4"/>
        <item x="67"/>
        <item x="58"/>
        <item x="52"/>
        <item x="31"/>
        <item x="45"/>
        <item x="79"/>
        <item x="51"/>
        <item x="24"/>
        <item x="72"/>
        <item x="17"/>
        <item x="23"/>
        <item x="2"/>
        <item x="66"/>
        <item x="37"/>
        <item x="3"/>
        <item x="30"/>
        <item x="44"/>
        <item x="16"/>
        <item t="default"/>
      </items>
    </pivotField>
    <pivotField dataField="1" showAll="0">
      <items count="93">
        <item x="10"/>
        <item x="39"/>
        <item x="9"/>
        <item x="3"/>
        <item x="4"/>
        <item x="65"/>
        <item x="59"/>
        <item x="38"/>
        <item x="54"/>
        <item x="83"/>
        <item x="66"/>
        <item x="67"/>
        <item x="31"/>
        <item x="11"/>
        <item x="2"/>
        <item x="14"/>
        <item x="87"/>
        <item x="82"/>
        <item x="80"/>
        <item x="68"/>
        <item x="81"/>
        <item x="51"/>
        <item x="40"/>
        <item x="23"/>
        <item x="64"/>
        <item x="73"/>
        <item x="52"/>
        <item x="15"/>
        <item x="17"/>
        <item x="5"/>
        <item x="24"/>
        <item x="58"/>
        <item x="32"/>
        <item x="55"/>
        <item x="86"/>
        <item x="7"/>
        <item x="6"/>
        <item x="22"/>
        <item x="45"/>
        <item x="41"/>
        <item x="18"/>
        <item x="36"/>
        <item x="46"/>
        <item x="74"/>
        <item x="84"/>
        <item x="88"/>
        <item x="12"/>
        <item x="85"/>
        <item x="60"/>
        <item x="79"/>
        <item x="1"/>
        <item x="25"/>
        <item x="37"/>
        <item x="53"/>
        <item x="30"/>
        <item x="78"/>
        <item x="50"/>
        <item x="29"/>
        <item x="57"/>
        <item x="72"/>
        <item x="8"/>
        <item x="42"/>
        <item x="33"/>
        <item x="0"/>
        <item x="28"/>
        <item x="49"/>
        <item x="35"/>
        <item x="16"/>
        <item x="13"/>
        <item x="34"/>
        <item x="27"/>
        <item x="61"/>
        <item x="19"/>
        <item x="26"/>
        <item x="63"/>
        <item x="71"/>
        <item x="43"/>
        <item x="20"/>
        <item x="89"/>
        <item x="48"/>
        <item x="47"/>
        <item x="21"/>
        <item x="75"/>
        <item x="56"/>
        <item x="91"/>
        <item x="44"/>
        <item x="90"/>
        <item x="69"/>
        <item x="70"/>
        <item x="77"/>
        <item x="76"/>
        <item x="6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5"/>
  </rowFields>
  <rowItems count="31">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Fields count="1">
    <field x="-2"/>
  </colFields>
  <colItems count="3">
    <i>
      <x/>
    </i>
    <i i="1">
      <x v="1"/>
    </i>
    <i i="2">
      <x v="2"/>
    </i>
  </colItems>
  <dataFields count="3">
    <dataField name="RideCount" fld="2" baseField="0" baseItem="0"/>
    <dataField name="CasualCount" fld="3" baseField="5" baseItem="183"/>
    <dataField name="MemberCount"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956368-3F23-4608-BA05-1537BBB9DD60}"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A4" firstHeaderRow="1" firstDataRow="1" firstDataCol="0"/>
  <pivotFields count="7">
    <pivotField showAll="0"/>
    <pivotField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x="9"/>
        <item h="1" x="10"/>
        <item h="1" x="11"/>
        <item h="1" x="12"/>
        <item h="1" x="13"/>
        <item t="default"/>
      </items>
    </pivotField>
  </pivotFields>
  <rowItems count="1">
    <i/>
  </rowItems>
  <colItems count="1">
    <i/>
  </colItems>
  <dataFields count="1">
    <dataField name="Sum of ride_id" fld="2"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1C70BE-DA9A-42ED-95D0-D802698FAFE5}"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J10" firstHeaderRow="0" firstDataRow="1" firstDataCol="1"/>
  <pivotFields count="5">
    <pivotField showAll="0"/>
    <pivotField axis="axisRow" showAll="0" sortType="descending">
      <items count="8">
        <item x="1"/>
        <item x="5"/>
        <item x="6"/>
        <item x="4"/>
        <item x="0"/>
        <item x="2"/>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1"/>
  </rowFields>
  <rowItems count="8">
    <i>
      <x v="5"/>
    </i>
    <i>
      <x v="6"/>
    </i>
    <i>
      <x v="4"/>
    </i>
    <i>
      <x v="3"/>
    </i>
    <i>
      <x v="2"/>
    </i>
    <i>
      <x/>
    </i>
    <i>
      <x v="1"/>
    </i>
    <i t="grand">
      <x/>
    </i>
  </rowItems>
  <colFields count="1">
    <field x="-2"/>
  </colFields>
  <colItems count="3">
    <i>
      <x/>
    </i>
    <i i="1">
      <x v="1"/>
    </i>
    <i i="2">
      <x v="2"/>
    </i>
  </colItems>
  <dataFields count="3">
    <dataField name="RideCount" fld="2" baseField="1" baseItem="0"/>
    <dataField name="CasualCount" fld="3" baseField="0" baseItem="0"/>
    <dataField name="MemberCount"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F9C85B6-3DC3-453A-A3ED-A67684966C15}" autoFormatId="16" applyNumberFormats="0" applyBorderFormats="0" applyFontFormats="0" applyPatternFormats="0" applyAlignmentFormats="0" applyWidthHeightFormats="0">
  <queryTableRefresh nextId="5">
    <queryTableFields count="4">
      <queryTableField id="1" name="started" tableColumnId="1"/>
      <queryTableField id="2" name="classic_bike" tableColumnId="2"/>
      <queryTableField id="3" name="docked_bike" tableColumnId="3"/>
      <queryTableField id="4" name="electric_bik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9987455-1C89-4BAD-9CB8-E58BEBB623E4}" autoFormatId="16" applyNumberFormats="0" applyBorderFormats="0" applyFontFormats="0" applyPatternFormats="0" applyAlignmentFormats="0" applyWidthHeightFormats="0">
  <queryTableRefresh nextId="4">
    <queryTableFields count="3">
      <queryTableField id="1" name="started" tableColumnId="1"/>
      <queryTableField id="2" name="casual" tableColumnId="2"/>
      <queryTableField id="3" name="member"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A1F275E5-7537-46B4-BDDB-210C3AE7C0A6}" autoFormatId="16" applyNumberFormats="0" applyBorderFormats="0" applyFontFormats="0" applyPatternFormats="0" applyAlignmentFormats="0" applyWidthHeightFormats="0">
  <queryTableRefresh nextId="5">
    <queryTableFields count="4">
      <queryTableField id="1" name="started" tableColumnId="1"/>
      <queryTableField id="2" name="classic_bike" tableColumnId="2"/>
      <queryTableField id="3" name="docked_bike" tableColumnId="3"/>
      <queryTableField id="4" name="electric_bik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95C393A1-E961-4423-B345-BF6B32902361}" autoFormatId="16" applyNumberFormats="0" applyBorderFormats="0" applyFontFormats="0" applyPatternFormats="0" applyAlignmentFormats="0" applyWidthHeightFormats="0">
  <queryTableRefresh nextId="6">
    <queryTableFields count="5">
      <queryTableField id="1" name="Column1" tableColumnId="1"/>
      <queryTableField id="2" name="started" tableColumnId="2"/>
      <queryTableField id="3" name="ride_id" tableColumnId="3"/>
      <queryTableField id="4" name="casual" tableColumnId="4"/>
      <queryTableField id="5" name="member"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6F8B120D-45E1-4F8C-BECD-7A709F5F61D2}" autoFormatId="16" applyNumberFormats="0" applyBorderFormats="0" applyFontFormats="0" applyPatternFormats="0" applyAlignmentFormats="0" applyWidthHeightFormats="0">
  <queryTableRefresh nextId="6">
    <queryTableFields count="5">
      <queryTableField id="1" name="Column1" tableColumnId="1"/>
      <queryTableField id="2" name="weekdays" tableColumnId="2"/>
      <queryTableField id="3" name="ride_id" tableColumnId="3"/>
      <queryTableField id="4" name="casual" tableColumnId="4"/>
      <queryTableField id="5" name="member"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ted" xr10:uid="{12B71C62-9124-44DA-A7A0-339D0F74B03C}" sourceName="Months (started)">
  <pivotTables>
    <pivotTable tabId="8" name="PivotTable2"/>
    <pivotTable tabId="8" name="PivotTable1"/>
  </pivotTables>
  <data>
    <tabular pivotCacheId="832421882">
      <items count="14">
        <i x="7"/>
        <i x="8"/>
        <i x="9" s="1"/>
        <i x="1" nd="1"/>
        <i x="2" nd="1"/>
        <i x="3" nd="1"/>
        <i x="4" nd="1"/>
        <i x="5" nd="1"/>
        <i x="6" nd="1"/>
        <i x="10" nd="1"/>
        <i x="11" nd="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tarted)" xr10:uid="{749B2956-FE05-4FBD-B3F3-68F968C8F495}" cache="Slicer_Months__started" caption="Months (started)" columnCount="3"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386A51-711D-49BD-AE4A-F7E62358CD99}" name="daily_ave_ride_duration_by_bikes" displayName="daily_ave_ride_duration_by_bikes" ref="A1:D93" tableType="queryTable" totalsRowShown="0">
  <autoFilter ref="A1:D93" xr:uid="{D2386A51-711D-49BD-AE4A-F7E62358CD99}"/>
  <tableColumns count="4">
    <tableColumn id="1" xr3:uid="{D8E57B54-6C46-4B21-BAC6-68F5DE7CA290}" uniqueName="1" name="started" queryTableFieldId="1" dataDxfId="10"/>
    <tableColumn id="2" xr3:uid="{66E76368-BB0B-4AD7-86D1-79EEC6487288}" uniqueName="2" name="classic_bike" queryTableFieldId="2" dataDxfId="9"/>
    <tableColumn id="3" xr3:uid="{0FA08FD0-9249-44A2-9D07-B44B0CCDC527}" uniqueName="3" name="docked_bike" queryTableFieldId="3" dataDxfId="8"/>
    <tableColumn id="4" xr3:uid="{03C7FDF8-A1E4-41BF-9E0C-5F81233D52D2}" uniqueName="4" name="electric_bike" queryTableFieldId="4"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ED2DB5-6DA4-405F-8CAB-9BDEFFBABB52}" name="daily_ave_ride_duration_by_user" displayName="daily_ave_ride_duration_by_user" ref="A1:C93" tableType="queryTable" totalsRowShown="0">
  <autoFilter ref="A1:C93" xr:uid="{33ED2DB5-6DA4-405F-8CAB-9BDEFFBABB52}"/>
  <tableColumns count="3">
    <tableColumn id="1" xr3:uid="{96CD1388-C645-45D9-BF82-31D5E32A3B0F}" uniqueName="1" name="started" queryTableFieldId="1" dataDxfId="6"/>
    <tableColumn id="2" xr3:uid="{24306556-290A-4122-B5F1-19FFD51F0168}" uniqueName="2" name="casual" queryTableFieldId="2" dataDxfId="5"/>
    <tableColumn id="3" xr3:uid="{D2082FEB-B49F-4119-BF4C-953035BAB11A}" uniqueName="3" name="member" queryTableFieldId="3"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9331EE-0B23-40E4-9974-09A0709E061A}" name="monthly_rides_bt" displayName="monthly_rides_bt" ref="A1:D93" tableType="queryTable" totalsRowShown="0">
  <autoFilter ref="A1:D93" xr:uid="{679331EE-0B23-40E4-9974-09A0709E061A}"/>
  <tableColumns count="4">
    <tableColumn id="1" xr3:uid="{299A6F0E-AD72-4EE9-9163-21773276F250}" uniqueName="1" name="started" queryTableFieldId="1" dataDxfId="3"/>
    <tableColumn id="2" xr3:uid="{10BC7C9F-235B-4978-B536-C5AE48EDD070}" uniqueName="2" name="classic_bike" queryTableFieldId="2"/>
    <tableColumn id="3" xr3:uid="{47B5AAE4-6874-48C5-B6CB-8B53B3C2F5E5}" uniqueName="3" name="docked_bike" queryTableFieldId="3"/>
    <tableColumn id="4" xr3:uid="{84C6DDB4-7D04-495B-9F11-9B9C7CCFB1CB}" uniqueName="4" name="electric_bik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1F952-699B-4D4C-80D5-85E43C08385F}" name="daily_data" displayName="daily_data" ref="A1:E93" tableType="queryTable" totalsRowShown="0">
  <autoFilter ref="A1:E93" xr:uid="{9DF1F952-699B-4D4C-80D5-85E43C08385F}"/>
  <tableColumns count="5">
    <tableColumn id="1" xr3:uid="{7C2C6C16-A7C0-44D7-B691-35E325EEC34E}" uniqueName="1" name="Column1" queryTableFieldId="1"/>
    <tableColumn id="2" xr3:uid="{1BBA02B1-1B85-4AAF-9AC0-87F15DD3BDC1}" uniqueName="2" name="started" queryTableFieldId="2" dataDxfId="2"/>
    <tableColumn id="3" xr3:uid="{2FDFD929-E83B-465F-8F95-AC44DDE1A73D}" uniqueName="3" name="ride_id" queryTableFieldId="3"/>
    <tableColumn id="4" xr3:uid="{9BD17753-ABB4-40E1-9541-EC57DF3F55B8}" uniqueName="4" name="casual" queryTableFieldId="4"/>
    <tableColumn id="5" xr3:uid="{296701BA-1E64-4A65-B396-263A303E72EE}" uniqueName="5" name="member"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B0E8C5-4588-448D-9493-33D29935DECB}" name="weekly_data__2" displayName="weekly_data__2" ref="A1:E8" tableType="queryTable" totalsRowShown="0">
  <autoFilter ref="A1:E8" xr:uid="{D3B0E8C5-4588-448D-9493-33D29935DECB}"/>
  <tableColumns count="5">
    <tableColumn id="1" xr3:uid="{5FE1DF4D-9248-440E-B301-A7AB207A9068}" uniqueName="1" name="Column1" queryTableFieldId="1"/>
    <tableColumn id="2" xr3:uid="{277BDDF0-D316-4F23-A077-BC59921A8F13}" uniqueName="2" name="weekdays" queryTableFieldId="2" dataDxfId="0"/>
    <tableColumn id="3" xr3:uid="{1959D33E-C6ED-4AA1-9B0E-251D151B9002}" uniqueName="3" name="ride_id" queryTableFieldId="3"/>
    <tableColumn id="4" xr3:uid="{5D2400FD-0768-4646-BF19-99D7878D3E69}" uniqueName="4" name="casual" queryTableFieldId="4"/>
    <tableColumn id="5" xr3:uid="{2821010E-E0D2-4285-A5AA-625096104F1B}" uniqueName="5" name="member"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1871-9C3F-486B-8999-1D8A661838E0}">
  <dimension ref="A1:I93"/>
  <sheetViews>
    <sheetView workbookViewId="0">
      <selection activeCell="I3" sqref="I3"/>
    </sheetView>
  </sheetViews>
  <sheetFormatPr defaultRowHeight="15" x14ac:dyDescent="0.25"/>
  <cols>
    <col min="1" max="1" width="10.85546875" bestFit="1" customWidth="1"/>
    <col min="2" max="2" width="13.7109375" bestFit="1" customWidth="1"/>
    <col min="3" max="3" width="14.5703125" bestFit="1" customWidth="1"/>
    <col min="4" max="4" width="14.7109375" bestFit="1" customWidth="1"/>
    <col min="6" max="6" width="13.140625" bestFit="1" customWidth="1"/>
    <col min="7" max="7" width="19.5703125" bestFit="1" customWidth="1"/>
    <col min="8" max="8" width="20.28515625" bestFit="1" customWidth="1"/>
    <col min="9" max="9" width="20.140625" bestFit="1" customWidth="1"/>
  </cols>
  <sheetData>
    <row r="1" spans="1:9" x14ac:dyDescent="0.25">
      <c r="A1" t="s">
        <v>1</v>
      </c>
      <c r="B1" t="s">
        <v>5</v>
      </c>
      <c r="C1" t="s">
        <v>6</v>
      </c>
      <c r="D1" t="s">
        <v>7</v>
      </c>
    </row>
    <row r="2" spans="1:9" x14ac:dyDescent="0.25">
      <c r="A2" s="1">
        <v>44378</v>
      </c>
      <c r="B2" s="6">
        <v>17.494288020665159</v>
      </c>
      <c r="C2" s="6">
        <v>70.035370511841109</v>
      </c>
      <c r="D2" s="6">
        <v>16.224446168433754</v>
      </c>
    </row>
    <row r="3" spans="1:9" x14ac:dyDescent="0.25">
      <c r="A3" s="1">
        <v>44379</v>
      </c>
      <c r="B3" s="6">
        <v>19.122614164615804</v>
      </c>
      <c r="C3" s="6">
        <v>79.409698899826282</v>
      </c>
      <c r="D3" s="6">
        <v>17.341389590347926</v>
      </c>
      <c r="F3" s="2" t="s">
        <v>9</v>
      </c>
      <c r="G3" t="s">
        <v>29</v>
      </c>
      <c r="H3" t="s">
        <v>30</v>
      </c>
      <c r="I3" t="s">
        <v>31</v>
      </c>
    </row>
    <row r="4" spans="1:9" x14ac:dyDescent="0.25">
      <c r="A4" s="1">
        <v>44380</v>
      </c>
      <c r="B4" s="6">
        <v>24.486078333333332</v>
      </c>
      <c r="C4" s="6">
        <v>90.807378650258812</v>
      </c>
      <c r="D4" s="6">
        <v>22.474911673516473</v>
      </c>
      <c r="F4" s="3" t="s">
        <v>11</v>
      </c>
      <c r="G4" s="6">
        <v>592.50734747081015</v>
      </c>
      <c r="H4" s="6">
        <v>2484.3058299850277</v>
      </c>
      <c r="I4" s="6">
        <v>543.91452159138555</v>
      </c>
    </row>
    <row r="5" spans="1:9" x14ac:dyDescent="0.25">
      <c r="A5" s="1">
        <v>44381</v>
      </c>
      <c r="B5" s="6">
        <v>26.277956504309483</v>
      </c>
      <c r="C5" s="6">
        <v>100.84205450733754</v>
      </c>
      <c r="D5" s="6">
        <v>22.972170076213398</v>
      </c>
      <c r="F5" s="3" t="s">
        <v>12</v>
      </c>
      <c r="G5" s="6">
        <v>567.95689655304216</v>
      </c>
      <c r="H5" s="6">
        <v>1829.5958031039111</v>
      </c>
      <c r="I5" s="6">
        <v>525.60148740120997</v>
      </c>
    </row>
    <row r="6" spans="1:9" x14ac:dyDescent="0.25">
      <c r="A6" s="1">
        <v>44382</v>
      </c>
      <c r="B6" s="6">
        <v>23.848994354966049</v>
      </c>
      <c r="C6" s="6">
        <v>113.08151739539258</v>
      </c>
      <c r="D6" s="6">
        <v>22.365256517302161</v>
      </c>
      <c r="F6" s="3" t="s">
        <v>13</v>
      </c>
      <c r="G6" s="6">
        <v>524.78133085283719</v>
      </c>
      <c r="H6" s="6">
        <v>1784.0637062778508</v>
      </c>
      <c r="I6" s="6">
        <v>478.82366432573889</v>
      </c>
    </row>
    <row r="7" spans="1:9" x14ac:dyDescent="0.25">
      <c r="A7" s="1">
        <v>44383</v>
      </c>
      <c r="B7" s="6">
        <v>17.620079215572623</v>
      </c>
      <c r="C7" s="6">
        <v>56.320154494382017</v>
      </c>
      <c r="D7" s="6">
        <v>16.580342987206652</v>
      </c>
    </row>
    <row r="8" spans="1:9" x14ac:dyDescent="0.25">
      <c r="A8" s="1">
        <v>44384</v>
      </c>
      <c r="B8" s="6">
        <v>17.366961251680724</v>
      </c>
      <c r="C8" s="6">
        <v>76.471991125901269</v>
      </c>
      <c r="D8" s="6">
        <v>16.462244579628763</v>
      </c>
    </row>
    <row r="9" spans="1:9" x14ac:dyDescent="0.25">
      <c r="A9" s="1">
        <v>44385</v>
      </c>
      <c r="B9" s="6">
        <v>16.445789766676349</v>
      </c>
      <c r="C9" s="6">
        <v>246.21293215916504</v>
      </c>
      <c r="D9" s="6">
        <v>14.94667610730863</v>
      </c>
    </row>
    <row r="10" spans="1:9" x14ac:dyDescent="0.25">
      <c r="A10" s="1">
        <v>44386</v>
      </c>
      <c r="B10" s="6">
        <v>19.788279551914393</v>
      </c>
      <c r="C10" s="6">
        <v>88.075560428849911</v>
      </c>
      <c r="D10" s="6">
        <v>17.922265790589233</v>
      </c>
    </row>
    <row r="11" spans="1:9" x14ac:dyDescent="0.25">
      <c r="A11" s="1">
        <v>44387</v>
      </c>
      <c r="B11" s="6">
        <v>20.885851366996171</v>
      </c>
      <c r="C11" s="6">
        <v>92.02266260162601</v>
      </c>
      <c r="D11" s="6">
        <v>18.955911458333333</v>
      </c>
    </row>
    <row r="12" spans="1:9" x14ac:dyDescent="0.25">
      <c r="A12" s="1">
        <v>44388</v>
      </c>
      <c r="B12" s="6">
        <v>17.671454996721927</v>
      </c>
      <c r="C12" s="6">
        <v>80.122424933485362</v>
      </c>
      <c r="D12" s="6">
        <v>15.443802835219145</v>
      </c>
    </row>
    <row r="13" spans="1:9" x14ac:dyDescent="0.25">
      <c r="A13" s="1">
        <v>44389</v>
      </c>
      <c r="B13" s="6">
        <v>16.926796786306873</v>
      </c>
      <c r="C13" s="6">
        <v>87.760924593658416</v>
      </c>
      <c r="D13" s="6">
        <v>15.019129365886741</v>
      </c>
    </row>
    <row r="14" spans="1:9" x14ac:dyDescent="0.25">
      <c r="A14" s="1">
        <v>44390</v>
      </c>
      <c r="B14" s="6">
        <v>17.096711399498599</v>
      </c>
      <c r="C14" s="6">
        <v>69.742580005664109</v>
      </c>
      <c r="D14" s="6">
        <v>15.409730295280168</v>
      </c>
    </row>
    <row r="15" spans="1:9" x14ac:dyDescent="0.25">
      <c r="A15" s="1">
        <v>44391</v>
      </c>
      <c r="B15" s="6">
        <v>17.155848490817956</v>
      </c>
      <c r="C15" s="6">
        <v>63.784331268639598</v>
      </c>
      <c r="D15" s="6">
        <v>15.961133572926025</v>
      </c>
    </row>
    <row r="16" spans="1:9" x14ac:dyDescent="0.25">
      <c r="A16" s="1">
        <v>44392</v>
      </c>
      <c r="B16" s="6">
        <v>15.736659736659735</v>
      </c>
      <c r="C16" s="6">
        <v>74.85994327660994</v>
      </c>
      <c r="D16" s="6">
        <v>14.76640196897929</v>
      </c>
    </row>
    <row r="17" spans="1:4" x14ac:dyDescent="0.25">
      <c r="A17" s="1">
        <v>44393</v>
      </c>
      <c r="B17" s="6">
        <v>16.739735581144476</v>
      </c>
      <c r="C17" s="6">
        <v>101.10797250859108</v>
      </c>
      <c r="D17" s="6">
        <v>15.503306244356464</v>
      </c>
    </row>
    <row r="18" spans="1:4" x14ac:dyDescent="0.25">
      <c r="A18" s="1">
        <v>44394</v>
      </c>
      <c r="B18" s="6">
        <v>22.826607945483545</v>
      </c>
      <c r="C18" s="6">
        <v>61.680654590760966</v>
      </c>
      <c r="D18" s="6">
        <v>20.434991064275589</v>
      </c>
    </row>
    <row r="19" spans="1:4" x14ac:dyDescent="0.25">
      <c r="A19" s="1">
        <v>44395</v>
      </c>
      <c r="B19" s="6">
        <v>23.166754131680662</v>
      </c>
      <c r="C19" s="6">
        <v>78.113619080539237</v>
      </c>
      <c r="D19" s="6">
        <v>22.671248876909253</v>
      </c>
    </row>
    <row r="20" spans="1:4" x14ac:dyDescent="0.25">
      <c r="A20" s="1">
        <v>44396</v>
      </c>
      <c r="B20" s="6">
        <v>18.145441123514583</v>
      </c>
      <c r="C20" s="6">
        <v>80.064129072681709</v>
      </c>
      <c r="D20" s="6">
        <v>16.691317069463445</v>
      </c>
    </row>
    <row r="21" spans="1:4" x14ac:dyDescent="0.25">
      <c r="A21" s="1">
        <v>44397</v>
      </c>
      <c r="B21" s="6">
        <v>17.00565795536831</v>
      </c>
      <c r="C21" s="6">
        <v>58.312836069474187</v>
      </c>
      <c r="D21" s="6">
        <v>15.731795128461794</v>
      </c>
    </row>
    <row r="22" spans="1:4" x14ac:dyDescent="0.25">
      <c r="A22" s="1">
        <v>44398</v>
      </c>
      <c r="B22" s="6">
        <v>16.743222514601115</v>
      </c>
      <c r="C22" s="6">
        <v>51.011435037273692</v>
      </c>
      <c r="D22" s="6">
        <v>15.823029759234336</v>
      </c>
    </row>
    <row r="23" spans="1:4" x14ac:dyDescent="0.25">
      <c r="A23" s="1">
        <v>44399</v>
      </c>
      <c r="B23" s="6">
        <v>16.91978460109819</v>
      </c>
      <c r="C23" s="6">
        <v>63.367848791893998</v>
      </c>
      <c r="D23" s="6">
        <v>16.306386701662291</v>
      </c>
    </row>
    <row r="24" spans="1:4" x14ac:dyDescent="0.25">
      <c r="A24" s="1">
        <v>44400</v>
      </c>
      <c r="B24" s="6">
        <v>18.23888818791664</v>
      </c>
      <c r="C24" s="6">
        <v>64.308622754491012</v>
      </c>
      <c r="D24" s="6">
        <v>16.551097328244275</v>
      </c>
    </row>
    <row r="25" spans="1:4" x14ac:dyDescent="0.25">
      <c r="A25" s="1">
        <v>44401</v>
      </c>
      <c r="B25" s="6">
        <v>21.645012596064927</v>
      </c>
      <c r="C25" s="6">
        <v>78.634332851637765</v>
      </c>
      <c r="D25" s="6">
        <v>18.994138340643275</v>
      </c>
    </row>
    <row r="26" spans="1:4" x14ac:dyDescent="0.25">
      <c r="A26" s="1">
        <v>44402</v>
      </c>
      <c r="B26" s="6">
        <v>22.052830984794205</v>
      </c>
      <c r="C26" s="6">
        <v>57.825700305810393</v>
      </c>
      <c r="D26" s="6">
        <v>21.528847699417316</v>
      </c>
    </row>
    <row r="27" spans="1:4" x14ac:dyDescent="0.25">
      <c r="A27" s="1">
        <v>44403</v>
      </c>
      <c r="B27" s="6">
        <v>17.996709512653286</v>
      </c>
      <c r="C27" s="6">
        <v>59.529293645168906</v>
      </c>
      <c r="D27" s="6">
        <v>16.610993476633514</v>
      </c>
    </row>
    <row r="28" spans="1:4" x14ac:dyDescent="0.25">
      <c r="A28" s="1">
        <v>44404</v>
      </c>
      <c r="B28" s="6">
        <v>17.187391639766936</v>
      </c>
      <c r="C28" s="6">
        <v>68.509595536959566</v>
      </c>
      <c r="D28" s="6">
        <v>15.370485367594576</v>
      </c>
    </row>
    <row r="29" spans="1:4" x14ac:dyDescent="0.25">
      <c r="A29" s="1">
        <v>44405</v>
      </c>
      <c r="B29" s="6">
        <v>17.169636493228797</v>
      </c>
      <c r="C29" s="6">
        <v>87.290901600753301</v>
      </c>
      <c r="D29" s="6">
        <v>15.632941764558861</v>
      </c>
    </row>
    <row r="30" spans="1:4" x14ac:dyDescent="0.25">
      <c r="A30" s="1">
        <v>44406</v>
      </c>
      <c r="B30" s="6">
        <v>17.300320296695887</v>
      </c>
      <c r="C30" s="6">
        <v>61.538996094647366</v>
      </c>
      <c r="D30" s="6">
        <v>16.327003338898162</v>
      </c>
    </row>
    <row r="31" spans="1:4" x14ac:dyDescent="0.25">
      <c r="A31" s="1">
        <v>44407</v>
      </c>
      <c r="B31" s="6">
        <v>18.59997412295294</v>
      </c>
      <c r="C31" s="6">
        <v>51.091875000000002</v>
      </c>
      <c r="D31" s="6">
        <v>17.089133970980544</v>
      </c>
    </row>
    <row r="32" spans="1:4" x14ac:dyDescent="0.25">
      <c r="A32" s="1">
        <v>44408</v>
      </c>
      <c r="B32" s="6">
        <v>22.845015843110389</v>
      </c>
      <c r="C32" s="6">
        <v>72.368492191707062</v>
      </c>
      <c r="D32" s="6">
        <v>19.801992472880233</v>
      </c>
    </row>
    <row r="33" spans="1:4" x14ac:dyDescent="0.25">
      <c r="A33" s="1">
        <v>44409</v>
      </c>
      <c r="B33" s="6">
        <v>22.735587655364245</v>
      </c>
      <c r="C33" s="6">
        <v>86.144071146245054</v>
      </c>
      <c r="D33" s="6">
        <v>20.467703113135915</v>
      </c>
    </row>
    <row r="34" spans="1:4" x14ac:dyDescent="0.25">
      <c r="A34" s="1">
        <v>44410</v>
      </c>
      <c r="B34" s="6">
        <v>18.353599650885759</v>
      </c>
      <c r="C34" s="6">
        <v>52.566294871794874</v>
      </c>
      <c r="D34" s="6">
        <v>17.079860418743767</v>
      </c>
    </row>
    <row r="35" spans="1:4" x14ac:dyDescent="0.25">
      <c r="A35" s="1">
        <v>44411</v>
      </c>
      <c r="B35" s="6">
        <v>17.57683754197139</v>
      </c>
      <c r="C35" s="6">
        <v>70.953707951070328</v>
      </c>
      <c r="D35" s="6">
        <v>16.833872889075749</v>
      </c>
    </row>
    <row r="36" spans="1:4" x14ac:dyDescent="0.25">
      <c r="A36" s="1">
        <v>44412</v>
      </c>
      <c r="B36" s="6">
        <v>17.056747562056739</v>
      </c>
      <c r="C36" s="6">
        <v>49.936581808538847</v>
      </c>
      <c r="D36" s="6">
        <v>16.056417785234899</v>
      </c>
    </row>
    <row r="37" spans="1:4" x14ac:dyDescent="0.25">
      <c r="A37" s="1">
        <v>44413</v>
      </c>
      <c r="B37" s="6">
        <v>17.318114092427731</v>
      </c>
      <c r="C37" s="6">
        <v>50.418798889730006</v>
      </c>
      <c r="D37" s="6">
        <v>16.583212267958032</v>
      </c>
    </row>
    <row r="38" spans="1:4" x14ac:dyDescent="0.25">
      <c r="A38" s="1">
        <v>44414</v>
      </c>
      <c r="B38" s="6">
        <v>18.492263638705584</v>
      </c>
      <c r="C38" s="6">
        <v>64.786450540315869</v>
      </c>
      <c r="D38" s="6">
        <v>16.302423878205126</v>
      </c>
    </row>
    <row r="39" spans="1:4" x14ac:dyDescent="0.25">
      <c r="A39" s="1">
        <v>44415</v>
      </c>
      <c r="B39" s="6">
        <v>22.57051332005657</v>
      </c>
      <c r="C39" s="6">
        <v>54.845848182466149</v>
      </c>
      <c r="D39" s="6">
        <v>19.891631967272993</v>
      </c>
    </row>
    <row r="40" spans="1:4" x14ac:dyDescent="0.25">
      <c r="A40" s="1">
        <v>44416</v>
      </c>
      <c r="B40" s="6">
        <v>21.9292262323256</v>
      </c>
      <c r="C40" s="6">
        <v>66.057289146911785</v>
      </c>
      <c r="D40" s="6">
        <v>20.270842941327185</v>
      </c>
    </row>
    <row r="41" spans="1:4" x14ac:dyDescent="0.25">
      <c r="A41" s="1">
        <v>44417</v>
      </c>
      <c r="B41" s="6">
        <v>15.614994568974028</v>
      </c>
      <c r="C41" s="6">
        <v>75.346288314176235</v>
      </c>
      <c r="D41" s="6">
        <v>15.23223540430846</v>
      </c>
    </row>
    <row r="42" spans="1:4" x14ac:dyDescent="0.25">
      <c r="A42" s="1">
        <v>44418</v>
      </c>
      <c r="B42" s="6">
        <v>15.540199446130906</v>
      </c>
      <c r="C42" s="6">
        <v>61.04966024915062</v>
      </c>
      <c r="D42" s="6">
        <v>14.742110025334782</v>
      </c>
    </row>
    <row r="43" spans="1:4" x14ac:dyDescent="0.25">
      <c r="A43" s="1">
        <v>44419</v>
      </c>
      <c r="B43" s="6">
        <v>15.514910319471358</v>
      </c>
      <c r="C43" s="6">
        <v>75.264512471655337</v>
      </c>
      <c r="D43" s="6">
        <v>14.577005171603195</v>
      </c>
    </row>
    <row r="44" spans="1:4" x14ac:dyDescent="0.25">
      <c r="A44" s="1">
        <v>44420</v>
      </c>
      <c r="B44" s="6">
        <v>16.686112898382877</v>
      </c>
      <c r="C44" s="6">
        <v>51.741765062064793</v>
      </c>
      <c r="D44" s="6">
        <v>16.004181438051088</v>
      </c>
    </row>
    <row r="45" spans="1:4" x14ac:dyDescent="0.25">
      <c r="A45" s="1">
        <v>44421</v>
      </c>
      <c r="B45" s="6">
        <v>18.278070952618272</v>
      </c>
      <c r="C45" s="6">
        <v>47.397223780145822</v>
      </c>
      <c r="D45" s="6">
        <v>17.02700771324864</v>
      </c>
    </row>
    <row r="46" spans="1:4" x14ac:dyDescent="0.25">
      <c r="A46" s="1">
        <v>44422</v>
      </c>
      <c r="B46" s="6">
        <v>23.018318943165319</v>
      </c>
      <c r="C46" s="6">
        <v>63.48482905982906</v>
      </c>
      <c r="D46" s="6">
        <v>20.509325824746387</v>
      </c>
    </row>
    <row r="47" spans="1:4" x14ac:dyDescent="0.25">
      <c r="A47" s="1">
        <v>44423</v>
      </c>
      <c r="B47" s="6">
        <v>22.875226444816381</v>
      </c>
      <c r="C47" s="6">
        <v>58.960646201289592</v>
      </c>
      <c r="D47" s="6">
        <v>21.875338849487786</v>
      </c>
    </row>
    <row r="48" spans="1:4" x14ac:dyDescent="0.25">
      <c r="A48" s="1">
        <v>44424</v>
      </c>
      <c r="B48" s="6">
        <v>17.696386057452422</v>
      </c>
      <c r="C48" s="6">
        <v>70.742382028112445</v>
      </c>
      <c r="D48" s="6">
        <v>16.17263497372193</v>
      </c>
    </row>
    <row r="49" spans="1:4" x14ac:dyDescent="0.25">
      <c r="A49" s="1">
        <v>44425</v>
      </c>
      <c r="B49" s="6">
        <v>17.000957488812844</v>
      </c>
      <c r="C49" s="6">
        <v>49.324709042076989</v>
      </c>
      <c r="D49" s="6">
        <v>15.31724599898617</v>
      </c>
    </row>
    <row r="50" spans="1:4" x14ac:dyDescent="0.25">
      <c r="A50" s="1">
        <v>44426</v>
      </c>
      <c r="B50" s="6">
        <v>16.596153445763065</v>
      </c>
      <c r="C50" s="6">
        <v>52.75933947772657</v>
      </c>
      <c r="D50" s="6">
        <v>15.457626838539085</v>
      </c>
    </row>
    <row r="51" spans="1:4" x14ac:dyDescent="0.25">
      <c r="A51" s="1">
        <v>44427</v>
      </c>
      <c r="B51" s="6">
        <v>16.745277534691837</v>
      </c>
      <c r="C51" s="6">
        <v>51.084482758620688</v>
      </c>
      <c r="D51" s="6">
        <v>15.197553319573444</v>
      </c>
    </row>
    <row r="52" spans="1:4" x14ac:dyDescent="0.25">
      <c r="A52" s="1">
        <v>44428</v>
      </c>
      <c r="B52" s="6">
        <v>18.312743966926259</v>
      </c>
      <c r="C52" s="6">
        <v>60.911598258706462</v>
      </c>
      <c r="D52" s="6">
        <v>17.152862650953004</v>
      </c>
    </row>
    <row r="53" spans="1:4" x14ac:dyDescent="0.25">
      <c r="A53" s="1">
        <v>44429</v>
      </c>
      <c r="B53" s="6">
        <v>21.62134222353443</v>
      </c>
      <c r="C53" s="6">
        <v>51.925007335680753</v>
      </c>
      <c r="D53" s="6">
        <v>19.391593695271453</v>
      </c>
    </row>
    <row r="54" spans="1:4" x14ac:dyDescent="0.25">
      <c r="A54" s="1">
        <v>44430</v>
      </c>
      <c r="B54" s="6">
        <v>23.531800332276092</v>
      </c>
      <c r="C54" s="6">
        <v>54.121967071057192</v>
      </c>
      <c r="D54" s="6">
        <v>21.872147681635631</v>
      </c>
    </row>
    <row r="55" spans="1:4" x14ac:dyDescent="0.25">
      <c r="A55" s="1">
        <v>44431</v>
      </c>
      <c r="B55" s="6">
        <v>17.252226696811267</v>
      </c>
      <c r="C55" s="6">
        <v>70.283496296296292</v>
      </c>
      <c r="D55" s="6">
        <v>16.599796553374819</v>
      </c>
    </row>
    <row r="56" spans="1:4" x14ac:dyDescent="0.25">
      <c r="A56" s="1">
        <v>44432</v>
      </c>
      <c r="B56" s="6">
        <v>14.607000645369475</v>
      </c>
      <c r="C56" s="6">
        <v>61.728209658421669</v>
      </c>
      <c r="D56" s="6">
        <v>12.636903409090909</v>
      </c>
    </row>
    <row r="57" spans="1:4" x14ac:dyDescent="0.25">
      <c r="A57" s="1">
        <v>44433</v>
      </c>
      <c r="B57" s="6">
        <v>14.93064520423923</v>
      </c>
      <c r="C57" s="6">
        <v>55.30545023696682</v>
      </c>
      <c r="D57" s="6">
        <v>13.604747932782075</v>
      </c>
    </row>
    <row r="58" spans="1:4" x14ac:dyDescent="0.25">
      <c r="A58" s="1">
        <v>44434</v>
      </c>
      <c r="B58" s="6">
        <v>16.512113321202232</v>
      </c>
      <c r="C58" s="6">
        <v>65.601827849783973</v>
      </c>
      <c r="D58" s="6">
        <v>15.199050721591703</v>
      </c>
    </row>
    <row r="59" spans="1:4" x14ac:dyDescent="0.25">
      <c r="A59" s="1">
        <v>44435</v>
      </c>
      <c r="B59" s="6">
        <v>17.348585357893235</v>
      </c>
      <c r="C59" s="6">
        <v>52.255112474437631</v>
      </c>
      <c r="D59" s="6">
        <v>15.8472783561271</v>
      </c>
    </row>
    <row r="60" spans="1:4" x14ac:dyDescent="0.25">
      <c r="A60" s="1">
        <v>44436</v>
      </c>
      <c r="B60" s="6">
        <v>20.615489974099042</v>
      </c>
      <c r="C60" s="6">
        <v>52.057220216606495</v>
      </c>
      <c r="D60" s="6">
        <v>19.159487061352991</v>
      </c>
    </row>
    <row r="61" spans="1:4" x14ac:dyDescent="0.25">
      <c r="A61" s="1">
        <v>44437</v>
      </c>
      <c r="B61" s="6">
        <v>20.175624087181216</v>
      </c>
      <c r="C61" s="6">
        <v>59.818243088873658</v>
      </c>
      <c r="D61" s="6">
        <v>18.863268049155145</v>
      </c>
    </row>
    <row r="62" spans="1:4" x14ac:dyDescent="0.25">
      <c r="A62" s="1">
        <v>44438</v>
      </c>
      <c r="B62" s="6">
        <v>16.329411556436767</v>
      </c>
      <c r="C62" s="6">
        <v>47.385922330097088</v>
      </c>
      <c r="D62" s="6">
        <v>15.55217163039328</v>
      </c>
    </row>
    <row r="63" spans="1:4" x14ac:dyDescent="0.25">
      <c r="A63" s="1">
        <v>44439</v>
      </c>
      <c r="B63" s="6">
        <v>15.120415393000165</v>
      </c>
      <c r="C63" s="6">
        <v>45.33686730506156</v>
      </c>
      <c r="D63" s="6">
        <v>14.123948840927259</v>
      </c>
    </row>
    <row r="64" spans="1:4" x14ac:dyDescent="0.25">
      <c r="A64" s="1">
        <v>44440</v>
      </c>
      <c r="B64" s="6">
        <v>15.908869937790962</v>
      </c>
      <c r="C64" s="6">
        <v>47.938473520249218</v>
      </c>
      <c r="D64" s="6">
        <v>14.667126065723037</v>
      </c>
    </row>
    <row r="65" spans="1:4" x14ac:dyDescent="0.25">
      <c r="A65" s="1">
        <v>44441</v>
      </c>
      <c r="B65" s="6">
        <v>15.876114155833122</v>
      </c>
      <c r="C65" s="6">
        <v>76.896692392502757</v>
      </c>
      <c r="D65" s="6">
        <v>15.557155301144849</v>
      </c>
    </row>
    <row r="66" spans="1:4" x14ac:dyDescent="0.25">
      <c r="A66" s="1">
        <v>44442</v>
      </c>
      <c r="B66" s="6">
        <v>17.324294431731502</v>
      </c>
      <c r="C66" s="6">
        <v>68.416775688198413</v>
      </c>
      <c r="D66" s="6">
        <v>15.095518207282913</v>
      </c>
    </row>
    <row r="67" spans="1:4" x14ac:dyDescent="0.25">
      <c r="A67" s="1">
        <v>44443</v>
      </c>
      <c r="B67" s="6">
        <v>21.561884723284876</v>
      </c>
      <c r="C67" s="6">
        <v>66.446382600976477</v>
      </c>
      <c r="D67" s="6">
        <v>19.922983183036802</v>
      </c>
    </row>
    <row r="68" spans="1:4" x14ac:dyDescent="0.25">
      <c r="A68" s="1">
        <v>44444</v>
      </c>
      <c r="B68" s="6">
        <v>25.46075198843095</v>
      </c>
      <c r="C68" s="6">
        <v>96.429262000897268</v>
      </c>
      <c r="D68" s="6">
        <v>24.26139383021842</v>
      </c>
    </row>
    <row r="69" spans="1:4" x14ac:dyDescent="0.25">
      <c r="A69" s="1">
        <v>44445</v>
      </c>
      <c r="B69" s="6">
        <v>24.218046082783012</v>
      </c>
      <c r="C69" s="6">
        <v>78.095136390887291</v>
      </c>
      <c r="D69" s="6">
        <v>22.752605185909978</v>
      </c>
    </row>
    <row r="70" spans="1:4" x14ac:dyDescent="0.25">
      <c r="A70" s="1">
        <v>44446</v>
      </c>
      <c r="B70" s="6">
        <v>14.787599802572364</v>
      </c>
      <c r="C70" s="6">
        <v>49.980834621329208</v>
      </c>
      <c r="D70" s="6">
        <v>12.953707627118643</v>
      </c>
    </row>
    <row r="71" spans="1:4" x14ac:dyDescent="0.25">
      <c r="A71" s="1">
        <v>44447</v>
      </c>
      <c r="B71" s="6">
        <v>15.854778006784318</v>
      </c>
      <c r="C71" s="6">
        <v>61.998878827080645</v>
      </c>
      <c r="D71" s="6">
        <v>14.267256980351602</v>
      </c>
    </row>
    <row r="72" spans="1:4" x14ac:dyDescent="0.25">
      <c r="A72" s="1">
        <v>44448</v>
      </c>
      <c r="B72" s="6">
        <v>15.4176000254842</v>
      </c>
      <c r="C72" s="6">
        <v>56.522366710013003</v>
      </c>
      <c r="D72" s="6">
        <v>14.344970963995355</v>
      </c>
    </row>
    <row r="73" spans="1:4" x14ac:dyDescent="0.25">
      <c r="A73" s="1">
        <v>44449</v>
      </c>
      <c r="B73" s="6">
        <v>17.242463264654209</v>
      </c>
      <c r="C73" s="6">
        <v>61.522531392694063</v>
      </c>
      <c r="D73" s="6">
        <v>15.556240200689871</v>
      </c>
    </row>
    <row r="74" spans="1:4" x14ac:dyDescent="0.25">
      <c r="A74" s="1">
        <v>44450</v>
      </c>
      <c r="B74" s="6">
        <v>21.2889025621608</v>
      </c>
      <c r="C74" s="6">
        <v>65.495426874536008</v>
      </c>
      <c r="D74" s="6">
        <v>19.118779692264056</v>
      </c>
    </row>
    <row r="75" spans="1:4" x14ac:dyDescent="0.25">
      <c r="A75" s="1">
        <v>44451</v>
      </c>
      <c r="B75" s="6">
        <v>20.663416906820366</v>
      </c>
      <c r="C75" s="6">
        <v>60.670859125867565</v>
      </c>
      <c r="D75" s="6">
        <v>18.502185195301831</v>
      </c>
    </row>
    <row r="76" spans="1:4" x14ac:dyDescent="0.25">
      <c r="A76" s="1">
        <v>44452</v>
      </c>
      <c r="B76" s="6">
        <v>16.090602630694885</v>
      </c>
      <c r="C76" s="6">
        <v>64.890506088280063</v>
      </c>
      <c r="D76" s="6">
        <v>14.997252150672345</v>
      </c>
    </row>
    <row r="77" spans="1:4" x14ac:dyDescent="0.25">
      <c r="A77" s="1">
        <v>44453</v>
      </c>
      <c r="B77" s="6">
        <v>14.882262360010927</v>
      </c>
      <c r="C77" s="6">
        <v>45.584361329833769</v>
      </c>
      <c r="D77" s="6">
        <v>14.040446074711189</v>
      </c>
    </row>
    <row r="78" spans="1:4" x14ac:dyDescent="0.25">
      <c r="A78" s="1">
        <v>44454</v>
      </c>
      <c r="B78" s="6">
        <v>15.566958320718539</v>
      </c>
      <c r="C78" s="6">
        <v>82.024317617866018</v>
      </c>
      <c r="D78" s="6">
        <v>14.85672431717229</v>
      </c>
    </row>
    <row r="79" spans="1:4" x14ac:dyDescent="0.25">
      <c r="A79" s="1">
        <v>44455</v>
      </c>
      <c r="B79" s="6">
        <v>16.678739625554911</v>
      </c>
      <c r="C79" s="6">
        <v>59.68741913517195</v>
      </c>
      <c r="D79" s="6">
        <v>14.946920726804953</v>
      </c>
    </row>
    <row r="80" spans="1:4" x14ac:dyDescent="0.25">
      <c r="A80" s="1">
        <v>44456</v>
      </c>
      <c r="B80" s="6">
        <v>18.212239964245086</v>
      </c>
      <c r="C80" s="6">
        <v>62.687662020053807</v>
      </c>
      <c r="D80" s="6">
        <v>16.123285305021909</v>
      </c>
    </row>
    <row r="81" spans="1:4" x14ac:dyDescent="0.25">
      <c r="A81" s="1">
        <v>44457</v>
      </c>
      <c r="B81" s="6">
        <v>22.181420032808717</v>
      </c>
      <c r="C81" s="6">
        <v>54.612279260780284</v>
      </c>
      <c r="D81" s="6">
        <v>19.624489253436622</v>
      </c>
    </row>
    <row r="82" spans="1:4" x14ac:dyDescent="0.25">
      <c r="A82" s="1">
        <v>44458</v>
      </c>
      <c r="B82" s="6">
        <v>22.139712607983739</v>
      </c>
      <c r="C82" s="6">
        <v>50.046090875643856</v>
      </c>
      <c r="D82" s="6">
        <v>19.39938864997049</v>
      </c>
    </row>
    <row r="83" spans="1:4" x14ac:dyDescent="0.25">
      <c r="A83" s="1">
        <v>44459</v>
      </c>
      <c r="B83" s="6">
        <v>15.322101196700359</v>
      </c>
      <c r="C83" s="6">
        <v>43.594938271604939</v>
      </c>
      <c r="D83" s="6">
        <v>13.790450615666755</v>
      </c>
    </row>
    <row r="84" spans="1:4" x14ac:dyDescent="0.25">
      <c r="A84" s="1">
        <v>44460</v>
      </c>
      <c r="B84" s="6">
        <v>13.24013868962219</v>
      </c>
      <c r="C84" s="6">
        <v>73.872094995759113</v>
      </c>
      <c r="D84" s="6">
        <v>12.666823638042473</v>
      </c>
    </row>
    <row r="85" spans="1:4" x14ac:dyDescent="0.25">
      <c r="A85" s="1">
        <v>44461</v>
      </c>
      <c r="B85" s="6">
        <v>12.904622434747958</v>
      </c>
      <c r="C85" s="6">
        <v>45.080808080808083</v>
      </c>
      <c r="D85" s="6">
        <v>11.777116762539105</v>
      </c>
    </row>
    <row r="86" spans="1:4" x14ac:dyDescent="0.25">
      <c r="A86" s="1">
        <v>44462</v>
      </c>
      <c r="B86" s="6">
        <v>13.92550803884763</v>
      </c>
      <c r="C86" s="6">
        <v>41.59345794392523</v>
      </c>
      <c r="D86" s="6">
        <v>12.913552421724168</v>
      </c>
    </row>
    <row r="87" spans="1:4" x14ac:dyDescent="0.25">
      <c r="A87" s="1">
        <v>44463</v>
      </c>
      <c r="B87" s="6">
        <v>17.028885971579264</v>
      </c>
      <c r="C87" s="6">
        <v>55.25158562367865</v>
      </c>
      <c r="D87" s="6">
        <v>14.56571342109245</v>
      </c>
    </row>
    <row r="88" spans="1:4" x14ac:dyDescent="0.25">
      <c r="A88" s="1">
        <v>44464</v>
      </c>
      <c r="B88" s="6">
        <v>20.205087070171565</v>
      </c>
      <c r="C88" s="6">
        <v>52.853285420944559</v>
      </c>
      <c r="D88" s="6">
        <v>18.524640983153823</v>
      </c>
    </row>
    <row r="89" spans="1:4" x14ac:dyDescent="0.25">
      <c r="A89" s="1">
        <v>44465</v>
      </c>
      <c r="B89" s="6">
        <v>21.086179073965333</v>
      </c>
      <c r="C89" s="6">
        <v>59.817266992266994</v>
      </c>
      <c r="D89" s="6">
        <v>18.681189924928084</v>
      </c>
    </row>
    <row r="90" spans="1:4" x14ac:dyDescent="0.25">
      <c r="A90" s="1">
        <v>44466</v>
      </c>
      <c r="B90" s="6">
        <v>15.441319071611463</v>
      </c>
      <c r="C90" s="6">
        <v>59.525110782865582</v>
      </c>
      <c r="D90" s="6">
        <v>13.969186046511627</v>
      </c>
    </row>
    <row r="91" spans="1:4" x14ac:dyDescent="0.25">
      <c r="A91" s="1">
        <v>44467</v>
      </c>
      <c r="B91" s="6">
        <v>14.859652264175425</v>
      </c>
      <c r="C91" s="6">
        <v>51.804539682539684</v>
      </c>
      <c r="D91" s="6">
        <v>13.240248046211349</v>
      </c>
    </row>
    <row r="92" spans="1:4" x14ac:dyDescent="0.25">
      <c r="A92" s="1">
        <v>44468</v>
      </c>
      <c r="B92" s="6">
        <v>14.753429258290319</v>
      </c>
      <c r="C92" s="6">
        <v>46.430341880341885</v>
      </c>
      <c r="D92" s="6">
        <v>13.808185382453026</v>
      </c>
    </row>
    <row r="93" spans="1:4" x14ac:dyDescent="0.25">
      <c r="A93" s="1">
        <v>44469</v>
      </c>
      <c r="B93" s="6">
        <v>14.657750352777978</v>
      </c>
      <c r="C93" s="6">
        <v>44.294020130254587</v>
      </c>
      <c r="D93" s="6">
        <v>13.898128172588834</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3858-B252-4B0F-9FD5-DDB1BD2CD733}">
  <dimension ref="A1:G93"/>
  <sheetViews>
    <sheetView workbookViewId="0">
      <selection activeCell="F4" sqref="F4"/>
    </sheetView>
  </sheetViews>
  <sheetFormatPr defaultRowHeight="15" x14ac:dyDescent="0.25"/>
  <cols>
    <col min="1" max="1" width="10.85546875" bestFit="1" customWidth="1"/>
    <col min="2" max="3" width="12.42578125" bestFit="1" customWidth="1"/>
    <col min="5" max="5" width="11.28515625" bestFit="1" customWidth="1"/>
    <col min="6" max="6" width="19.42578125" bestFit="1" customWidth="1"/>
    <col min="7" max="7" width="21.5703125" bestFit="1" customWidth="1"/>
  </cols>
  <sheetData>
    <row r="1" spans="1:7" x14ac:dyDescent="0.25">
      <c r="A1" t="s">
        <v>1</v>
      </c>
      <c r="B1" t="s">
        <v>3</v>
      </c>
      <c r="C1" t="s">
        <v>4</v>
      </c>
    </row>
    <row r="2" spans="1:7" x14ac:dyDescent="0.25">
      <c r="A2" s="1">
        <v>44378</v>
      </c>
      <c r="B2" s="6">
        <v>29.466650495903409</v>
      </c>
      <c r="C2" s="6">
        <v>13.349374908505343</v>
      </c>
    </row>
    <row r="3" spans="1:7" x14ac:dyDescent="0.25">
      <c r="A3" s="1">
        <v>44379</v>
      </c>
      <c r="B3" s="6">
        <v>32.851572741104874</v>
      </c>
      <c r="C3" s="6">
        <v>13.566652947990976</v>
      </c>
      <c r="E3" s="2" t="s">
        <v>17</v>
      </c>
      <c r="F3" t="s">
        <v>27</v>
      </c>
      <c r="G3" t="s">
        <v>28</v>
      </c>
    </row>
    <row r="4" spans="1:7" x14ac:dyDescent="0.25">
      <c r="A4" s="1">
        <v>44380</v>
      </c>
      <c r="B4" s="6">
        <v>40.504480296408211</v>
      </c>
      <c r="C4" s="6">
        <v>16.087460100319198</v>
      </c>
      <c r="E4" s="3" t="s">
        <v>11</v>
      </c>
      <c r="F4" s="6">
        <v>1006.1659190073308</v>
      </c>
      <c r="G4" s="6">
        <v>429.06103503812062</v>
      </c>
    </row>
    <row r="5" spans="1:7" x14ac:dyDescent="0.25">
      <c r="A5" s="1">
        <v>44381</v>
      </c>
      <c r="B5" s="6">
        <v>44.346414787219764</v>
      </c>
      <c r="C5" s="6">
        <v>17.003435903673072</v>
      </c>
      <c r="E5" s="3" t="s">
        <v>12</v>
      </c>
      <c r="F5" s="6">
        <v>860.95086448810605</v>
      </c>
      <c r="G5" s="6">
        <v>420.4943948000992</v>
      </c>
    </row>
    <row r="6" spans="1:7" x14ac:dyDescent="0.25">
      <c r="A6" s="1">
        <v>44382</v>
      </c>
      <c r="B6" s="6">
        <v>45.760072957533211</v>
      </c>
      <c r="C6" s="6">
        <v>15.813753603398574</v>
      </c>
      <c r="E6" s="3" t="s">
        <v>13</v>
      </c>
      <c r="F6" s="6">
        <v>789.92311689928977</v>
      </c>
      <c r="G6" s="6">
        <v>395.77832732414498</v>
      </c>
    </row>
    <row r="7" spans="1:7" x14ac:dyDescent="0.25">
      <c r="A7" s="1">
        <v>44383</v>
      </c>
      <c r="B7" s="6">
        <v>28.117864206854389</v>
      </c>
      <c r="C7" s="6">
        <v>13.052182150790541</v>
      </c>
      <c r="E7" s="3" t="s">
        <v>10</v>
      </c>
      <c r="F7" s="6">
        <v>2657.0399003947264</v>
      </c>
      <c r="G7" s="6">
        <v>1245.3337571623649</v>
      </c>
    </row>
    <row r="8" spans="1:7" x14ac:dyDescent="0.25">
      <c r="A8" s="1">
        <v>44384</v>
      </c>
      <c r="B8" s="6">
        <v>30.380295118743714</v>
      </c>
      <c r="C8" s="6">
        <v>13.081111217001812</v>
      </c>
    </row>
    <row r="9" spans="1:7" x14ac:dyDescent="0.25">
      <c r="A9" s="1">
        <v>44385</v>
      </c>
      <c r="B9" s="6">
        <v>47.753671226470246</v>
      </c>
      <c r="C9" s="6">
        <v>12.694497995800726</v>
      </c>
    </row>
    <row r="10" spans="1:7" x14ac:dyDescent="0.25">
      <c r="A10" s="1">
        <v>44386</v>
      </c>
      <c r="B10" s="6">
        <v>34.491681607649788</v>
      </c>
      <c r="C10" s="6">
        <v>14.005804714399224</v>
      </c>
    </row>
    <row r="11" spans="1:7" x14ac:dyDescent="0.25">
      <c r="A11" s="1">
        <v>44387</v>
      </c>
      <c r="B11" s="6">
        <v>36.018163696060036</v>
      </c>
      <c r="C11" s="6">
        <v>14.835823519790644</v>
      </c>
    </row>
    <row r="12" spans="1:7" x14ac:dyDescent="0.25">
      <c r="A12" s="1">
        <v>44388</v>
      </c>
      <c r="B12" s="6">
        <v>29.987496348232543</v>
      </c>
      <c r="C12" s="6">
        <v>13.302407445566317</v>
      </c>
    </row>
    <row r="13" spans="1:7" x14ac:dyDescent="0.25">
      <c r="A13" s="1">
        <v>44389</v>
      </c>
      <c r="B13" s="6">
        <v>34.274294415771607</v>
      </c>
      <c r="C13" s="6">
        <v>12.357154428596584</v>
      </c>
    </row>
    <row r="14" spans="1:7" x14ac:dyDescent="0.25">
      <c r="A14" s="1">
        <v>44390</v>
      </c>
      <c r="B14" s="6">
        <v>29.370192347043176</v>
      </c>
      <c r="C14" s="6">
        <v>12.942602111060118</v>
      </c>
    </row>
    <row r="15" spans="1:7" x14ac:dyDescent="0.25">
      <c r="A15" s="1">
        <v>44391</v>
      </c>
      <c r="B15" s="6">
        <v>28.693293198141106</v>
      </c>
      <c r="C15" s="6">
        <v>13.143829647408422</v>
      </c>
    </row>
    <row r="16" spans="1:7" x14ac:dyDescent="0.25">
      <c r="A16" s="1">
        <v>44392</v>
      </c>
      <c r="B16" s="6">
        <v>27.206832160715077</v>
      </c>
      <c r="C16" s="6">
        <v>12.51284384478611</v>
      </c>
    </row>
    <row r="17" spans="1:3" x14ac:dyDescent="0.25">
      <c r="A17" s="1">
        <v>44393</v>
      </c>
      <c r="B17" s="6">
        <v>33.332505121141487</v>
      </c>
      <c r="C17" s="6">
        <v>12.802251806394139</v>
      </c>
    </row>
    <row r="18" spans="1:3" x14ac:dyDescent="0.25">
      <c r="A18" s="1">
        <v>44394</v>
      </c>
      <c r="B18" s="6">
        <v>33.097157399641489</v>
      </c>
      <c r="C18" s="6">
        <v>15.420022111187686</v>
      </c>
    </row>
    <row r="19" spans="1:3" x14ac:dyDescent="0.25">
      <c r="A19" s="1">
        <v>44395</v>
      </c>
      <c r="B19" s="6">
        <v>36.468979599736777</v>
      </c>
      <c r="C19" s="6">
        <v>16.026724903760734</v>
      </c>
    </row>
    <row r="20" spans="1:3" x14ac:dyDescent="0.25">
      <c r="A20" s="1">
        <v>44396</v>
      </c>
      <c r="B20" s="6">
        <v>33.450839251129757</v>
      </c>
      <c r="C20" s="6">
        <v>13.434958542198684</v>
      </c>
    </row>
    <row r="21" spans="1:3" x14ac:dyDescent="0.25">
      <c r="A21" s="1">
        <v>44397</v>
      </c>
      <c r="B21" s="6">
        <v>27.051804334491923</v>
      </c>
      <c r="C21" s="6">
        <v>13.044371029224903</v>
      </c>
    </row>
    <row r="22" spans="1:3" x14ac:dyDescent="0.25">
      <c r="A22" s="1">
        <v>44398</v>
      </c>
      <c r="B22" s="6">
        <v>25.470111741815714</v>
      </c>
      <c r="C22" s="6">
        <v>13.172753889911327</v>
      </c>
    </row>
    <row r="23" spans="1:3" x14ac:dyDescent="0.25">
      <c r="A23" s="1">
        <v>44399</v>
      </c>
      <c r="B23" s="6">
        <v>27.464183312950126</v>
      </c>
      <c r="C23" s="6">
        <v>13.105136629976451</v>
      </c>
    </row>
    <row r="24" spans="1:3" x14ac:dyDescent="0.25">
      <c r="A24" s="1">
        <v>44400</v>
      </c>
      <c r="B24" s="6">
        <v>29.232403031654037</v>
      </c>
      <c r="C24" s="6">
        <v>13.149249063313649</v>
      </c>
    </row>
    <row r="25" spans="1:3" x14ac:dyDescent="0.25">
      <c r="A25" s="1">
        <v>44401</v>
      </c>
      <c r="B25" s="6">
        <v>34.134711021505382</v>
      </c>
      <c r="C25" s="6">
        <v>14.744278257378037</v>
      </c>
    </row>
    <row r="26" spans="1:3" x14ac:dyDescent="0.25">
      <c r="A26" s="1">
        <v>44402</v>
      </c>
      <c r="B26" s="6">
        <v>31.884530342798062</v>
      </c>
      <c r="C26" s="6">
        <v>15.28994517329156</v>
      </c>
    </row>
    <row r="27" spans="1:3" x14ac:dyDescent="0.25">
      <c r="A27" s="1">
        <v>44403</v>
      </c>
      <c r="B27" s="6">
        <v>29.553394075021313</v>
      </c>
      <c r="C27" s="6">
        <v>13.044279357532535</v>
      </c>
    </row>
    <row r="28" spans="1:3" x14ac:dyDescent="0.25">
      <c r="A28" s="1">
        <v>44404</v>
      </c>
      <c r="B28" s="6">
        <v>28.314637301171121</v>
      </c>
      <c r="C28" s="6">
        <v>12.823767809281987</v>
      </c>
    </row>
    <row r="29" spans="1:3" x14ac:dyDescent="0.25">
      <c r="A29" s="1">
        <v>44405</v>
      </c>
      <c r="B29" s="6">
        <v>30.676653690340547</v>
      </c>
      <c r="C29" s="6">
        <v>12.979506868014674</v>
      </c>
    </row>
    <row r="30" spans="1:3" x14ac:dyDescent="0.25">
      <c r="A30" s="1">
        <v>44406</v>
      </c>
      <c r="B30" s="6">
        <v>26.490457236170649</v>
      </c>
      <c r="C30" s="6">
        <v>13.412481741162722</v>
      </c>
    </row>
    <row r="31" spans="1:3" x14ac:dyDescent="0.25">
      <c r="A31" s="1">
        <v>44407</v>
      </c>
      <c r="B31" s="6">
        <v>26.619006482083908</v>
      </c>
      <c r="C31" s="6">
        <v>13.053099061710572</v>
      </c>
    </row>
    <row r="32" spans="1:3" x14ac:dyDescent="0.25">
      <c r="A32" s="1">
        <v>44408</v>
      </c>
      <c r="B32" s="6">
        <v>33.701569461827283</v>
      </c>
      <c r="C32" s="6">
        <v>15.809274254693234</v>
      </c>
    </row>
    <row r="33" spans="1:3" x14ac:dyDescent="0.25">
      <c r="A33" s="1">
        <v>44409</v>
      </c>
      <c r="B33" s="6">
        <v>35.240894709809965</v>
      </c>
      <c r="C33" s="6">
        <v>15.432526308304892</v>
      </c>
    </row>
    <row r="34" spans="1:3" x14ac:dyDescent="0.25">
      <c r="A34" s="1">
        <v>44410</v>
      </c>
      <c r="B34" s="6">
        <v>28.326825379371012</v>
      </c>
      <c r="C34" s="6">
        <v>13.393675717460624</v>
      </c>
    </row>
    <row r="35" spans="1:3" x14ac:dyDescent="0.25">
      <c r="A35" s="1">
        <v>44411</v>
      </c>
      <c r="B35" s="6">
        <v>30.39238676401148</v>
      </c>
      <c r="C35" s="6">
        <v>13.067469103262461</v>
      </c>
    </row>
    <row r="36" spans="1:3" x14ac:dyDescent="0.25">
      <c r="A36" s="1">
        <v>44412</v>
      </c>
      <c r="B36" s="6">
        <v>25.817631513603633</v>
      </c>
      <c r="C36" s="6">
        <v>13.134426065592503</v>
      </c>
    </row>
    <row r="37" spans="1:3" x14ac:dyDescent="0.25">
      <c r="A37" s="1">
        <v>44413</v>
      </c>
      <c r="B37" s="6">
        <v>25.761893924720766</v>
      </c>
      <c r="C37" s="6">
        <v>13.283709737666294</v>
      </c>
    </row>
    <row r="38" spans="1:3" x14ac:dyDescent="0.25">
      <c r="A38" s="1">
        <v>44414</v>
      </c>
      <c r="B38" s="6">
        <v>28.75028831689788</v>
      </c>
      <c r="C38" s="6">
        <v>13.067894026430613</v>
      </c>
    </row>
    <row r="39" spans="1:3" x14ac:dyDescent="0.25">
      <c r="A39" s="1">
        <v>44415</v>
      </c>
      <c r="B39" s="6">
        <v>30.577686268472902</v>
      </c>
      <c r="C39" s="6">
        <v>15.493098946473571</v>
      </c>
    </row>
    <row r="40" spans="1:3" x14ac:dyDescent="0.25">
      <c r="A40" s="1">
        <v>44416</v>
      </c>
      <c r="B40" s="6">
        <v>32.01471922858763</v>
      </c>
      <c r="C40" s="6">
        <v>15.492494963062459</v>
      </c>
    </row>
    <row r="41" spans="1:3" x14ac:dyDescent="0.25">
      <c r="A41" s="1">
        <v>44417</v>
      </c>
      <c r="B41" s="6">
        <v>27.324556246150401</v>
      </c>
      <c r="C41" s="6">
        <v>11.978178289772492</v>
      </c>
    </row>
    <row r="42" spans="1:3" x14ac:dyDescent="0.25">
      <c r="A42" s="1">
        <v>44418</v>
      </c>
      <c r="B42" s="6">
        <v>25.18682322243966</v>
      </c>
      <c r="C42" s="6">
        <v>12.341402342832207</v>
      </c>
    </row>
    <row r="43" spans="1:3" x14ac:dyDescent="0.25">
      <c r="A43" s="1">
        <v>44419</v>
      </c>
      <c r="B43" s="6">
        <v>26.300180786306012</v>
      </c>
      <c r="C43" s="6">
        <v>12.752663636937449</v>
      </c>
    </row>
    <row r="44" spans="1:3" x14ac:dyDescent="0.25">
      <c r="A44" s="1">
        <v>44420</v>
      </c>
      <c r="B44" s="6">
        <v>25.508872258833165</v>
      </c>
      <c r="C44" s="6">
        <v>12.909188165888878</v>
      </c>
    </row>
    <row r="45" spans="1:3" x14ac:dyDescent="0.25">
      <c r="A45" s="1">
        <v>44421</v>
      </c>
      <c r="B45" s="6">
        <v>26.713615764344098</v>
      </c>
      <c r="C45" s="6">
        <v>13.415272289021555</v>
      </c>
    </row>
    <row r="46" spans="1:3" x14ac:dyDescent="0.25">
      <c r="A46" s="1">
        <v>44422</v>
      </c>
      <c r="B46" s="6">
        <v>32.262842716402687</v>
      </c>
      <c r="C46" s="6">
        <v>16.242298406566874</v>
      </c>
    </row>
    <row r="47" spans="1:3" x14ac:dyDescent="0.25">
      <c r="A47" s="1">
        <v>44423</v>
      </c>
      <c r="B47" s="6">
        <v>32.161054068369801</v>
      </c>
      <c r="C47" s="6">
        <v>16.213000315656565</v>
      </c>
    </row>
    <row r="48" spans="1:3" x14ac:dyDescent="0.25">
      <c r="A48" s="1">
        <v>44424</v>
      </c>
      <c r="B48" s="6">
        <v>30.621708763872942</v>
      </c>
      <c r="C48" s="6">
        <v>13.21813440413551</v>
      </c>
    </row>
    <row r="49" spans="1:3" x14ac:dyDescent="0.25">
      <c r="A49" s="1">
        <v>44425</v>
      </c>
      <c r="B49" s="6">
        <v>25.719827813571456</v>
      </c>
      <c r="C49" s="6">
        <v>12.95916949761096</v>
      </c>
    </row>
    <row r="50" spans="1:3" x14ac:dyDescent="0.25">
      <c r="A50" s="1">
        <v>44426</v>
      </c>
      <c r="B50" s="6">
        <v>25.350192455735179</v>
      </c>
      <c r="C50" s="6">
        <v>12.861005871275065</v>
      </c>
    </row>
    <row r="51" spans="1:3" x14ac:dyDescent="0.25">
      <c r="A51" s="1">
        <v>44427</v>
      </c>
      <c r="B51" s="6">
        <v>25.33521417813737</v>
      </c>
      <c r="C51" s="6">
        <v>12.681524626133148</v>
      </c>
    </row>
    <row r="52" spans="1:3" x14ac:dyDescent="0.25">
      <c r="A52" s="1">
        <v>44428</v>
      </c>
      <c r="B52" s="6">
        <v>27.929048572191085</v>
      </c>
      <c r="C52" s="6">
        <v>13.154315058148317</v>
      </c>
    </row>
    <row r="53" spans="1:3" x14ac:dyDescent="0.25">
      <c r="A53" s="1">
        <v>44429</v>
      </c>
      <c r="B53" s="6">
        <v>29.107064554201923</v>
      </c>
      <c r="C53" s="6">
        <v>15.094653169486973</v>
      </c>
    </row>
    <row r="54" spans="1:3" x14ac:dyDescent="0.25">
      <c r="A54" s="1">
        <v>44430</v>
      </c>
      <c r="B54" s="6">
        <v>32.255937057468351</v>
      </c>
      <c r="C54" s="6">
        <v>16.264857739753282</v>
      </c>
    </row>
    <row r="55" spans="1:3" x14ac:dyDescent="0.25">
      <c r="A55" s="1">
        <v>44431</v>
      </c>
      <c r="B55" s="6">
        <v>29.966696193063264</v>
      </c>
      <c r="C55" s="6">
        <v>12.637205034880195</v>
      </c>
    </row>
    <row r="56" spans="1:3" x14ac:dyDescent="0.25">
      <c r="A56" s="1">
        <v>44432</v>
      </c>
      <c r="B56" s="6">
        <v>24.139682239455269</v>
      </c>
      <c r="C56" s="6">
        <v>11.248097637565268</v>
      </c>
    </row>
    <row r="57" spans="1:3" x14ac:dyDescent="0.25">
      <c r="A57" s="1">
        <v>44433</v>
      </c>
      <c r="B57" s="6">
        <v>22.509675033159883</v>
      </c>
      <c r="C57" s="6">
        <v>12.139316033185413</v>
      </c>
    </row>
    <row r="58" spans="1:3" x14ac:dyDescent="0.25">
      <c r="A58" s="1">
        <v>44434</v>
      </c>
      <c r="B58" s="6">
        <v>26.029675012377115</v>
      </c>
      <c r="C58" s="6">
        <v>12.704819915254236</v>
      </c>
    </row>
    <row r="59" spans="1:3" x14ac:dyDescent="0.25">
      <c r="A59" s="1">
        <v>44435</v>
      </c>
      <c r="B59" s="6">
        <v>24.898153363255009</v>
      </c>
      <c r="C59" s="6">
        <v>13.089348001073249</v>
      </c>
    </row>
    <row r="60" spans="1:3" x14ac:dyDescent="0.25">
      <c r="A60" s="1">
        <v>44436</v>
      </c>
      <c r="B60" s="6">
        <v>28.032748405722167</v>
      </c>
      <c r="C60" s="6">
        <v>14.745475702242619</v>
      </c>
    </row>
    <row r="61" spans="1:3" x14ac:dyDescent="0.25">
      <c r="A61" s="1">
        <v>44437</v>
      </c>
      <c r="B61" s="6">
        <v>29.781798907903969</v>
      </c>
      <c r="C61" s="6">
        <v>14.328289399253309</v>
      </c>
    </row>
    <row r="62" spans="1:3" x14ac:dyDescent="0.25">
      <c r="A62" s="1">
        <v>44438</v>
      </c>
      <c r="B62" s="6">
        <v>25.019040132756889</v>
      </c>
      <c r="C62" s="6">
        <v>12.639214338100476</v>
      </c>
    </row>
    <row r="63" spans="1:3" x14ac:dyDescent="0.25">
      <c r="A63" s="1">
        <v>44439</v>
      </c>
      <c r="B63" s="6">
        <v>21.914130636913065</v>
      </c>
      <c r="C63" s="6">
        <v>12.51167005707182</v>
      </c>
    </row>
    <row r="64" spans="1:3" x14ac:dyDescent="0.25">
      <c r="A64" s="1">
        <v>44440</v>
      </c>
      <c r="B64" s="6">
        <v>23.001405744336569</v>
      </c>
      <c r="C64" s="6">
        <v>12.806745033286155</v>
      </c>
    </row>
    <row r="65" spans="1:3" x14ac:dyDescent="0.25">
      <c r="A65" s="1">
        <v>44441</v>
      </c>
      <c r="B65" s="6">
        <v>26.438396047130368</v>
      </c>
      <c r="C65" s="6">
        <v>12.620680341014603</v>
      </c>
    </row>
    <row r="66" spans="1:3" x14ac:dyDescent="0.25">
      <c r="A66" s="1">
        <v>44442</v>
      </c>
      <c r="B66" s="6">
        <v>27.596215314365999</v>
      </c>
      <c r="C66" s="6">
        <v>12.870489617704896</v>
      </c>
    </row>
    <row r="67" spans="1:3" x14ac:dyDescent="0.25">
      <c r="A67" s="1">
        <v>44443</v>
      </c>
      <c r="B67" s="6">
        <v>32.334887725582036</v>
      </c>
      <c r="C67" s="6">
        <v>14.539334390455696</v>
      </c>
    </row>
    <row r="68" spans="1:3" x14ac:dyDescent="0.25">
      <c r="A68" s="1">
        <v>44444</v>
      </c>
      <c r="B68" s="6">
        <v>40.656107831143729</v>
      </c>
      <c r="C68" s="6">
        <v>16.900762352605891</v>
      </c>
    </row>
    <row r="69" spans="1:3" x14ac:dyDescent="0.25">
      <c r="A69" s="1">
        <v>44445</v>
      </c>
      <c r="B69" s="6">
        <v>36.419224781057409</v>
      </c>
      <c r="C69" s="6">
        <v>16.294746202824317</v>
      </c>
    </row>
    <row r="70" spans="1:3" x14ac:dyDescent="0.25">
      <c r="A70" s="1">
        <v>44446</v>
      </c>
      <c r="B70" s="6">
        <v>22.498244742507037</v>
      </c>
      <c r="C70" s="6">
        <v>11.673627301909105</v>
      </c>
    </row>
    <row r="71" spans="1:3" x14ac:dyDescent="0.25">
      <c r="A71" s="1">
        <v>44447</v>
      </c>
      <c r="B71" s="6">
        <v>24.726527220135562</v>
      </c>
      <c r="C71" s="6">
        <v>12.723658203438855</v>
      </c>
    </row>
    <row r="72" spans="1:3" x14ac:dyDescent="0.25">
      <c r="A72" s="1">
        <v>44448</v>
      </c>
      <c r="B72" s="6">
        <v>23.256725005029171</v>
      </c>
      <c r="C72" s="6">
        <v>12.377531704712322</v>
      </c>
    </row>
    <row r="73" spans="1:3" x14ac:dyDescent="0.25">
      <c r="A73" s="1">
        <v>44449</v>
      </c>
      <c r="B73" s="6">
        <v>26.162476840565578</v>
      </c>
      <c r="C73" s="6">
        <v>13.286183008740128</v>
      </c>
    </row>
    <row r="74" spans="1:3" x14ac:dyDescent="0.25">
      <c r="A74" s="1">
        <v>44450</v>
      </c>
      <c r="B74" s="6">
        <v>31.111440459167461</v>
      </c>
      <c r="C74" s="6">
        <v>14.573262474165928</v>
      </c>
    </row>
    <row r="75" spans="1:3" x14ac:dyDescent="0.25">
      <c r="A75" s="1">
        <v>44451</v>
      </c>
      <c r="B75" s="6">
        <v>30.530401609573826</v>
      </c>
      <c r="C75" s="6">
        <v>14.413574585451768</v>
      </c>
    </row>
    <row r="76" spans="1:3" x14ac:dyDescent="0.25">
      <c r="A76" s="1">
        <v>44452</v>
      </c>
      <c r="B76" s="6">
        <v>27.321467863346847</v>
      </c>
      <c r="C76" s="6">
        <v>12.480576533431572</v>
      </c>
    </row>
    <row r="77" spans="1:3" x14ac:dyDescent="0.25">
      <c r="A77" s="1">
        <v>44453</v>
      </c>
      <c r="B77" s="6">
        <v>22.455029502669287</v>
      </c>
      <c r="C77" s="6">
        <v>12.118137134765679</v>
      </c>
    </row>
    <row r="78" spans="1:3" x14ac:dyDescent="0.25">
      <c r="A78" s="1">
        <v>44454</v>
      </c>
      <c r="B78" s="6">
        <v>26.546563552957416</v>
      </c>
      <c r="C78" s="6">
        <v>12.473352061406979</v>
      </c>
    </row>
    <row r="79" spans="1:3" x14ac:dyDescent="0.25">
      <c r="A79" s="1">
        <v>44455</v>
      </c>
      <c r="B79" s="6">
        <v>24.822055918812151</v>
      </c>
      <c r="C79" s="6">
        <v>13.126633351841571</v>
      </c>
    </row>
    <row r="80" spans="1:3" x14ac:dyDescent="0.25">
      <c r="A80" s="1">
        <v>44456</v>
      </c>
      <c r="B80" s="6">
        <v>28.210421141096276</v>
      </c>
      <c r="C80" s="6">
        <v>13.246327222121376</v>
      </c>
    </row>
    <row r="81" spans="1:3" x14ac:dyDescent="0.25">
      <c r="A81" s="1">
        <v>44457</v>
      </c>
      <c r="B81" s="6">
        <v>30.789920712170986</v>
      </c>
      <c r="C81" s="6">
        <v>15.42005225043542</v>
      </c>
    </row>
    <row r="82" spans="1:3" x14ac:dyDescent="0.25">
      <c r="A82" s="1">
        <v>44458</v>
      </c>
      <c r="B82" s="6">
        <v>29.694717337596281</v>
      </c>
      <c r="C82" s="6">
        <v>15.526770640312948</v>
      </c>
    </row>
    <row r="83" spans="1:3" x14ac:dyDescent="0.25">
      <c r="A83" s="1">
        <v>44459</v>
      </c>
      <c r="B83" s="6">
        <v>22.868666227202816</v>
      </c>
      <c r="C83" s="6">
        <v>12.033747474747475</v>
      </c>
    </row>
    <row r="84" spans="1:3" x14ac:dyDescent="0.25">
      <c r="A84" s="1">
        <v>44460</v>
      </c>
      <c r="B84" s="6">
        <v>21.587727616299045</v>
      </c>
      <c r="C84" s="6">
        <v>11.289950036431769</v>
      </c>
    </row>
    <row r="85" spans="1:3" x14ac:dyDescent="0.25">
      <c r="A85" s="1">
        <v>44461</v>
      </c>
      <c r="B85" s="6">
        <v>18.31973095898859</v>
      </c>
      <c r="C85" s="6">
        <v>11.016845608761004</v>
      </c>
    </row>
    <row r="86" spans="1:3" x14ac:dyDescent="0.25">
      <c r="A86" s="1">
        <v>44462</v>
      </c>
      <c r="B86" s="6">
        <v>19.615942028985508</v>
      </c>
      <c r="C86" s="6">
        <v>11.624977785948463</v>
      </c>
    </row>
    <row r="87" spans="1:3" x14ac:dyDescent="0.25">
      <c r="A87" s="1">
        <v>44463</v>
      </c>
      <c r="B87" s="6">
        <v>24.846150255778351</v>
      </c>
      <c r="C87" s="6">
        <v>12.947514834526212</v>
      </c>
    </row>
    <row r="88" spans="1:3" x14ac:dyDescent="0.25">
      <c r="A88" s="1">
        <v>44464</v>
      </c>
      <c r="B88" s="6">
        <v>28.108610039496646</v>
      </c>
      <c r="C88" s="6">
        <v>14.491155478395061</v>
      </c>
    </row>
    <row r="89" spans="1:3" x14ac:dyDescent="0.25">
      <c r="A89" s="1">
        <v>44465</v>
      </c>
      <c r="B89" s="6">
        <v>30.399690849134377</v>
      </c>
      <c r="C89" s="6">
        <v>14.727168092356909</v>
      </c>
    </row>
    <row r="90" spans="1:3" x14ac:dyDescent="0.25">
      <c r="A90" s="1">
        <v>44466</v>
      </c>
      <c r="B90" s="6">
        <v>25.062414244566639</v>
      </c>
      <c r="C90" s="6">
        <v>11.954318550485111</v>
      </c>
    </row>
    <row r="91" spans="1:3" x14ac:dyDescent="0.25">
      <c r="A91" s="1">
        <v>44467</v>
      </c>
      <c r="B91" s="6">
        <v>22.035331221958302</v>
      </c>
      <c r="C91" s="6">
        <v>12.028421125975473</v>
      </c>
    </row>
    <row r="92" spans="1:3" x14ac:dyDescent="0.25">
      <c r="A92" s="1">
        <v>44468</v>
      </c>
      <c r="B92" s="6">
        <v>21.19149158098644</v>
      </c>
      <c r="C92" s="6">
        <v>12.22993303870363</v>
      </c>
    </row>
    <row r="93" spans="1:3" x14ac:dyDescent="0.25">
      <c r="A93" s="1">
        <v>44469</v>
      </c>
      <c r="B93" s="6">
        <v>21.315132526649379</v>
      </c>
      <c r="C93" s="6">
        <v>11.961850887188669</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1DB3-78C1-40D9-BCB7-99BD86EFE22D}">
  <dimension ref="A1:M93"/>
  <sheetViews>
    <sheetView workbookViewId="0">
      <selection activeCell="M3" sqref="M3"/>
    </sheetView>
  </sheetViews>
  <sheetFormatPr defaultRowHeight="15" x14ac:dyDescent="0.25"/>
  <cols>
    <col min="1" max="1" width="10.85546875" bestFit="1" customWidth="1"/>
    <col min="2" max="2" width="13.7109375" bestFit="1" customWidth="1"/>
    <col min="3" max="3" width="14.5703125" bestFit="1" customWidth="1"/>
    <col min="4" max="4" width="14.7109375" bestFit="1" customWidth="1"/>
    <col min="6" max="6" width="13.140625" bestFit="1" customWidth="1"/>
    <col min="7" max="7" width="17.28515625" bestFit="1" customWidth="1"/>
    <col min="8" max="8" width="18" bestFit="1" customWidth="1"/>
    <col min="9" max="9" width="17.85546875" bestFit="1" customWidth="1"/>
    <col min="11" max="11" width="11.42578125" bestFit="1" customWidth="1"/>
    <col min="13" max="13" width="14.140625" bestFit="1" customWidth="1"/>
  </cols>
  <sheetData>
    <row r="1" spans="1:13" x14ac:dyDescent="0.25">
      <c r="A1" t="s">
        <v>1</v>
      </c>
      <c r="B1" t="s">
        <v>5</v>
      </c>
      <c r="C1" t="s">
        <v>6</v>
      </c>
      <c r="D1" t="s">
        <v>7</v>
      </c>
    </row>
    <row r="2" spans="1:13" x14ac:dyDescent="0.25">
      <c r="A2" s="1">
        <v>44378</v>
      </c>
      <c r="B2">
        <v>15485</v>
      </c>
      <c r="C2">
        <v>1309</v>
      </c>
      <c r="D2">
        <v>3867</v>
      </c>
      <c r="K2" t="s">
        <v>21</v>
      </c>
      <c r="L2" t="s">
        <v>25</v>
      </c>
      <c r="M2" t="s">
        <v>26</v>
      </c>
    </row>
    <row r="3" spans="1:13" x14ac:dyDescent="0.25">
      <c r="A3" s="1">
        <v>44379</v>
      </c>
      <c r="B3">
        <v>15847</v>
      </c>
      <c r="C3">
        <v>1727</v>
      </c>
      <c r="D3">
        <v>4752</v>
      </c>
      <c r="F3" s="2" t="s">
        <v>9</v>
      </c>
      <c r="G3" t="s">
        <v>18</v>
      </c>
      <c r="H3" t="s">
        <v>19</v>
      </c>
      <c r="I3" t="s">
        <v>20</v>
      </c>
      <c r="K3" t="s">
        <v>22</v>
      </c>
      <c r="L3">
        <f>SUM(monthly_rides_bt[classic_bike])</f>
        <v>1468450</v>
      </c>
      <c r="M3" s="5">
        <f>$L3/SUM($L$3:$L$5)</f>
        <v>0.73870153127955407</v>
      </c>
    </row>
    <row r="4" spans="1:13" x14ac:dyDescent="0.25">
      <c r="A4" s="1">
        <v>44380</v>
      </c>
      <c r="B4">
        <v>20000</v>
      </c>
      <c r="C4">
        <v>3413</v>
      </c>
      <c r="D4">
        <v>4623</v>
      </c>
      <c r="F4" s="3" t="s">
        <v>11</v>
      </c>
      <c r="G4">
        <v>505544</v>
      </c>
      <c r="H4">
        <v>57698</v>
      </c>
      <c r="I4">
        <v>129079</v>
      </c>
      <c r="K4" t="s">
        <v>23</v>
      </c>
      <c r="L4">
        <f>SUM(monthly_rides_bt[docked_bike])</f>
        <v>138100</v>
      </c>
      <c r="M4" s="5">
        <f t="shared" ref="M4:M5" si="0">$L4/SUM($L$3:$L$5)</f>
        <v>6.9470994225003524E-2</v>
      </c>
    </row>
    <row r="5" spans="1:13" x14ac:dyDescent="0.25">
      <c r="A5" s="1">
        <v>44381</v>
      </c>
      <c r="B5">
        <v>19956</v>
      </c>
      <c r="C5">
        <v>3975</v>
      </c>
      <c r="D5">
        <v>4155</v>
      </c>
      <c r="F5" s="3" t="s">
        <v>12</v>
      </c>
      <c r="G5">
        <v>501829</v>
      </c>
      <c r="H5">
        <v>45065</v>
      </c>
      <c r="I5">
        <v>127515</v>
      </c>
      <c r="K5" t="s">
        <v>24</v>
      </c>
      <c r="L5">
        <f>SUM(monthly_rides_bt[electric_bike])</f>
        <v>381330</v>
      </c>
      <c r="M5" s="5">
        <f t="shared" si="0"/>
        <v>0.19182747449544238</v>
      </c>
    </row>
    <row r="6" spans="1:13" x14ac:dyDescent="0.25">
      <c r="A6" s="1">
        <v>44382</v>
      </c>
      <c r="B6">
        <v>16888</v>
      </c>
      <c r="C6">
        <v>2836</v>
      </c>
      <c r="D6">
        <v>3593</v>
      </c>
      <c r="F6" s="3" t="s">
        <v>13</v>
      </c>
      <c r="G6">
        <v>461077</v>
      </c>
      <c r="H6">
        <v>35337</v>
      </c>
      <c r="I6">
        <v>124736</v>
      </c>
    </row>
    <row r="7" spans="1:13" x14ac:dyDescent="0.25">
      <c r="A7" s="1">
        <v>44383</v>
      </c>
      <c r="B7">
        <v>13802</v>
      </c>
      <c r="C7">
        <v>1424</v>
      </c>
      <c r="D7">
        <v>4247</v>
      </c>
      <c r="F7" s="3" t="s">
        <v>10</v>
      </c>
      <c r="G7">
        <v>1468450</v>
      </c>
      <c r="H7">
        <v>138100</v>
      </c>
      <c r="I7">
        <v>381330</v>
      </c>
    </row>
    <row r="8" spans="1:13" x14ac:dyDescent="0.25">
      <c r="A8" s="1">
        <v>44384</v>
      </c>
      <c r="B8">
        <v>13635</v>
      </c>
      <c r="C8">
        <v>1202</v>
      </c>
      <c r="D8">
        <v>4274</v>
      </c>
    </row>
    <row r="9" spans="1:13" x14ac:dyDescent="0.25">
      <c r="A9" s="1">
        <v>44385</v>
      </c>
      <c r="B9">
        <v>13772</v>
      </c>
      <c r="C9">
        <v>1022</v>
      </c>
      <c r="D9">
        <v>4237</v>
      </c>
    </row>
    <row r="10" spans="1:13" x14ac:dyDescent="0.25">
      <c r="A10" s="1">
        <v>44386</v>
      </c>
      <c r="B10">
        <v>17943</v>
      </c>
      <c r="C10">
        <v>2052</v>
      </c>
      <c r="D10">
        <v>4718</v>
      </c>
    </row>
    <row r="11" spans="1:13" x14ac:dyDescent="0.25">
      <c r="A11" s="1">
        <v>44387</v>
      </c>
      <c r="B11">
        <v>14972</v>
      </c>
      <c r="C11">
        <v>2132</v>
      </c>
      <c r="D11">
        <v>3840</v>
      </c>
    </row>
    <row r="12" spans="1:13" x14ac:dyDescent="0.25">
      <c r="A12" s="1">
        <v>44388</v>
      </c>
      <c r="B12">
        <v>7118</v>
      </c>
      <c r="C12">
        <v>877</v>
      </c>
      <c r="D12">
        <v>2563</v>
      </c>
    </row>
    <row r="13" spans="1:13" x14ac:dyDescent="0.25">
      <c r="A13" s="1">
        <v>44389</v>
      </c>
      <c r="B13">
        <v>11451</v>
      </c>
      <c r="C13">
        <v>1251</v>
      </c>
      <c r="D13">
        <v>3932</v>
      </c>
    </row>
    <row r="14" spans="1:13" x14ac:dyDescent="0.25">
      <c r="A14" s="1">
        <v>44390</v>
      </c>
      <c r="B14">
        <v>13562</v>
      </c>
      <c r="C14">
        <v>1177</v>
      </c>
      <c r="D14">
        <v>4301</v>
      </c>
    </row>
    <row r="15" spans="1:13" x14ac:dyDescent="0.25">
      <c r="A15" s="1">
        <v>44391</v>
      </c>
      <c r="B15">
        <v>15229</v>
      </c>
      <c r="C15">
        <v>1453</v>
      </c>
      <c r="D15">
        <v>4452</v>
      </c>
    </row>
    <row r="16" spans="1:13" x14ac:dyDescent="0.25">
      <c r="A16" s="1">
        <v>44392</v>
      </c>
      <c r="B16">
        <v>12506</v>
      </c>
      <c r="C16">
        <v>999</v>
      </c>
      <c r="D16">
        <v>3589</v>
      </c>
    </row>
    <row r="17" spans="1:4" x14ac:dyDescent="0.25">
      <c r="A17" s="1">
        <v>44393</v>
      </c>
      <c r="B17">
        <v>13287</v>
      </c>
      <c r="C17">
        <v>1455</v>
      </c>
      <c r="D17">
        <v>4799</v>
      </c>
    </row>
    <row r="18" spans="1:4" x14ac:dyDescent="0.25">
      <c r="A18" s="1">
        <v>44394</v>
      </c>
      <c r="B18">
        <v>22990</v>
      </c>
      <c r="C18">
        <v>3478</v>
      </c>
      <c r="D18">
        <v>5409</v>
      </c>
    </row>
    <row r="19" spans="1:4" x14ac:dyDescent="0.25">
      <c r="A19" s="1">
        <v>44395</v>
      </c>
      <c r="B19">
        <v>20008</v>
      </c>
      <c r="C19">
        <v>2893</v>
      </c>
      <c r="D19">
        <v>4452</v>
      </c>
    </row>
    <row r="20" spans="1:4" x14ac:dyDescent="0.25">
      <c r="A20" s="1">
        <v>44396</v>
      </c>
      <c r="B20">
        <v>13885</v>
      </c>
      <c r="C20">
        <v>1596</v>
      </c>
      <c r="D20">
        <v>4386</v>
      </c>
    </row>
    <row r="21" spans="1:4" x14ac:dyDescent="0.25">
      <c r="A21" s="1">
        <v>44397</v>
      </c>
      <c r="B21">
        <v>15191</v>
      </c>
      <c r="C21">
        <v>1401</v>
      </c>
      <c r="D21">
        <v>4995</v>
      </c>
    </row>
    <row r="22" spans="1:4" x14ac:dyDescent="0.25">
      <c r="A22" s="1">
        <v>44398</v>
      </c>
      <c r="B22">
        <v>15581</v>
      </c>
      <c r="C22">
        <v>1252</v>
      </c>
      <c r="D22">
        <v>4458</v>
      </c>
    </row>
    <row r="23" spans="1:4" x14ac:dyDescent="0.25">
      <c r="A23" s="1">
        <v>44399</v>
      </c>
      <c r="B23">
        <v>16512</v>
      </c>
      <c r="C23">
        <v>1283</v>
      </c>
      <c r="D23">
        <v>4191</v>
      </c>
    </row>
    <row r="24" spans="1:4" x14ac:dyDescent="0.25">
      <c r="A24" s="1">
        <v>44400</v>
      </c>
      <c r="B24">
        <v>15851</v>
      </c>
      <c r="C24">
        <v>1670</v>
      </c>
      <c r="D24">
        <v>4192</v>
      </c>
    </row>
    <row r="25" spans="1:4" x14ac:dyDescent="0.25">
      <c r="A25" s="1">
        <v>44401</v>
      </c>
      <c r="B25">
        <v>20906</v>
      </c>
      <c r="C25">
        <v>2768</v>
      </c>
      <c r="D25">
        <v>3648</v>
      </c>
    </row>
    <row r="26" spans="1:4" x14ac:dyDescent="0.25">
      <c r="A26" s="1">
        <v>44402</v>
      </c>
      <c r="B26">
        <v>20935</v>
      </c>
      <c r="C26">
        <v>2725</v>
      </c>
      <c r="D26">
        <v>3318</v>
      </c>
    </row>
    <row r="27" spans="1:4" x14ac:dyDescent="0.25">
      <c r="A27" s="1">
        <v>44403</v>
      </c>
      <c r="B27">
        <v>15793</v>
      </c>
      <c r="C27">
        <v>1411</v>
      </c>
      <c r="D27">
        <v>3117</v>
      </c>
    </row>
    <row r="28" spans="1:4" x14ac:dyDescent="0.25">
      <c r="A28" s="1">
        <v>44404</v>
      </c>
      <c r="B28">
        <v>16419</v>
      </c>
      <c r="C28">
        <v>1195</v>
      </c>
      <c r="D28">
        <v>3736</v>
      </c>
    </row>
    <row r="29" spans="1:4" x14ac:dyDescent="0.25">
      <c r="A29" s="1">
        <v>44405</v>
      </c>
      <c r="B29">
        <v>16836</v>
      </c>
      <c r="C29">
        <v>1416</v>
      </c>
      <c r="D29">
        <v>4001</v>
      </c>
    </row>
    <row r="30" spans="1:4" x14ac:dyDescent="0.25">
      <c r="A30" s="1">
        <v>44406</v>
      </c>
      <c r="B30">
        <v>17796</v>
      </c>
      <c r="C30">
        <v>1451</v>
      </c>
      <c r="D30">
        <v>3594</v>
      </c>
    </row>
    <row r="31" spans="1:4" x14ac:dyDescent="0.25">
      <c r="A31" s="1">
        <v>44407</v>
      </c>
      <c r="B31">
        <v>18034</v>
      </c>
      <c r="C31">
        <v>1760</v>
      </c>
      <c r="D31">
        <v>5123</v>
      </c>
    </row>
    <row r="32" spans="1:4" x14ac:dyDescent="0.25">
      <c r="A32" s="1">
        <v>44408</v>
      </c>
      <c r="B32">
        <v>23354</v>
      </c>
      <c r="C32">
        <v>3095</v>
      </c>
      <c r="D32">
        <v>4517</v>
      </c>
    </row>
    <row r="33" spans="1:4" x14ac:dyDescent="0.25">
      <c r="A33" s="1">
        <v>44409</v>
      </c>
      <c r="B33">
        <v>18934</v>
      </c>
      <c r="C33">
        <v>2277</v>
      </c>
      <c r="D33">
        <v>4390</v>
      </c>
    </row>
    <row r="34" spans="1:4" x14ac:dyDescent="0.25">
      <c r="A34" s="1">
        <v>44410</v>
      </c>
      <c r="B34">
        <v>14131</v>
      </c>
      <c r="C34">
        <v>1300</v>
      </c>
      <c r="D34">
        <v>4012</v>
      </c>
    </row>
    <row r="35" spans="1:4" x14ac:dyDescent="0.25">
      <c r="A35" s="1">
        <v>44411</v>
      </c>
      <c r="B35">
        <v>14494</v>
      </c>
      <c r="C35">
        <v>1308</v>
      </c>
      <c r="D35">
        <v>4757</v>
      </c>
    </row>
    <row r="36" spans="1:4" x14ac:dyDescent="0.25">
      <c r="A36" s="1">
        <v>44412</v>
      </c>
      <c r="B36">
        <v>15040</v>
      </c>
      <c r="C36">
        <v>1257</v>
      </c>
      <c r="D36">
        <v>4768</v>
      </c>
    </row>
    <row r="37" spans="1:4" x14ac:dyDescent="0.25">
      <c r="A37" s="1">
        <v>44413</v>
      </c>
      <c r="B37">
        <v>16063</v>
      </c>
      <c r="C37">
        <v>1321</v>
      </c>
      <c r="D37">
        <v>4543</v>
      </c>
    </row>
    <row r="38" spans="1:4" x14ac:dyDescent="0.25">
      <c r="A38" s="1">
        <v>44414</v>
      </c>
      <c r="B38">
        <v>16821</v>
      </c>
      <c r="C38">
        <v>1604</v>
      </c>
      <c r="D38">
        <v>4160</v>
      </c>
    </row>
    <row r="39" spans="1:4" x14ac:dyDescent="0.25">
      <c r="A39" s="1">
        <v>44415</v>
      </c>
      <c r="B39">
        <v>23098</v>
      </c>
      <c r="C39">
        <v>2806</v>
      </c>
      <c r="D39">
        <v>4563</v>
      </c>
    </row>
    <row r="40" spans="1:4" x14ac:dyDescent="0.25">
      <c r="A40" s="1">
        <v>44416</v>
      </c>
      <c r="B40">
        <v>17068</v>
      </c>
      <c r="C40">
        <v>2067</v>
      </c>
      <c r="D40">
        <v>3903</v>
      </c>
    </row>
    <row r="41" spans="1:4" x14ac:dyDescent="0.25">
      <c r="A41" s="1">
        <v>44417</v>
      </c>
      <c r="B41">
        <v>10127</v>
      </c>
      <c r="C41">
        <v>696</v>
      </c>
      <c r="D41">
        <v>3203</v>
      </c>
    </row>
    <row r="42" spans="1:4" x14ac:dyDescent="0.25">
      <c r="A42" s="1">
        <v>44418</v>
      </c>
      <c r="B42">
        <v>12518</v>
      </c>
      <c r="C42">
        <v>883</v>
      </c>
      <c r="D42">
        <v>3684</v>
      </c>
    </row>
    <row r="43" spans="1:4" x14ac:dyDescent="0.25">
      <c r="A43" s="1">
        <v>44419</v>
      </c>
      <c r="B43">
        <v>13418</v>
      </c>
      <c r="C43">
        <v>882</v>
      </c>
      <c r="D43">
        <v>3545</v>
      </c>
    </row>
    <row r="44" spans="1:4" x14ac:dyDescent="0.25">
      <c r="A44" s="1">
        <v>44420</v>
      </c>
      <c r="B44">
        <v>15542</v>
      </c>
      <c r="C44">
        <v>1101</v>
      </c>
      <c r="D44">
        <v>3667</v>
      </c>
    </row>
    <row r="45" spans="1:4" x14ac:dyDescent="0.25">
      <c r="A45" s="1">
        <v>44421</v>
      </c>
      <c r="B45">
        <v>18059</v>
      </c>
      <c r="C45">
        <v>1783</v>
      </c>
      <c r="D45">
        <v>4408</v>
      </c>
    </row>
    <row r="46" spans="1:4" x14ac:dyDescent="0.25">
      <c r="A46" s="1">
        <v>44422</v>
      </c>
      <c r="B46">
        <v>25712</v>
      </c>
      <c r="C46">
        <v>2808</v>
      </c>
      <c r="D46">
        <v>4173</v>
      </c>
    </row>
    <row r="47" spans="1:4" x14ac:dyDescent="0.25">
      <c r="A47" s="1">
        <v>44423</v>
      </c>
      <c r="B47">
        <v>20314</v>
      </c>
      <c r="C47">
        <v>2378</v>
      </c>
      <c r="D47">
        <v>4230</v>
      </c>
    </row>
    <row r="48" spans="1:4" x14ac:dyDescent="0.25">
      <c r="A48" s="1">
        <v>44424</v>
      </c>
      <c r="B48">
        <v>14029</v>
      </c>
      <c r="C48">
        <v>1328</v>
      </c>
      <c r="D48">
        <v>4186</v>
      </c>
    </row>
    <row r="49" spans="1:4" x14ac:dyDescent="0.25">
      <c r="A49" s="1">
        <v>44425</v>
      </c>
      <c r="B49">
        <v>15196</v>
      </c>
      <c r="C49">
        <v>1117</v>
      </c>
      <c r="D49">
        <v>4603</v>
      </c>
    </row>
    <row r="50" spans="1:4" x14ac:dyDescent="0.25">
      <c r="A50" s="1">
        <v>44426</v>
      </c>
      <c r="B50">
        <v>16010</v>
      </c>
      <c r="C50">
        <v>1085</v>
      </c>
      <c r="D50">
        <v>4034</v>
      </c>
    </row>
    <row r="51" spans="1:4" x14ac:dyDescent="0.25">
      <c r="A51" s="1">
        <v>44427</v>
      </c>
      <c r="B51">
        <v>15998</v>
      </c>
      <c r="C51">
        <v>1189</v>
      </c>
      <c r="D51">
        <v>3876</v>
      </c>
    </row>
    <row r="52" spans="1:4" x14ac:dyDescent="0.25">
      <c r="A52" s="1">
        <v>44428</v>
      </c>
      <c r="B52">
        <v>17335</v>
      </c>
      <c r="C52">
        <v>1608</v>
      </c>
      <c r="D52">
        <v>4582</v>
      </c>
    </row>
    <row r="53" spans="1:4" x14ac:dyDescent="0.25">
      <c r="A53" s="1">
        <v>44429</v>
      </c>
      <c r="B53">
        <v>20322</v>
      </c>
      <c r="C53">
        <v>2272</v>
      </c>
      <c r="D53">
        <v>3997</v>
      </c>
    </row>
    <row r="54" spans="1:4" x14ac:dyDescent="0.25">
      <c r="A54" s="1">
        <v>44430</v>
      </c>
      <c r="B54">
        <v>19863</v>
      </c>
      <c r="C54">
        <v>2308</v>
      </c>
      <c r="D54">
        <v>3652</v>
      </c>
    </row>
    <row r="55" spans="1:4" x14ac:dyDescent="0.25">
      <c r="A55" s="1">
        <v>44431</v>
      </c>
      <c r="B55">
        <v>14154</v>
      </c>
      <c r="C55">
        <v>1125</v>
      </c>
      <c r="D55">
        <v>4178</v>
      </c>
    </row>
    <row r="56" spans="1:4" x14ac:dyDescent="0.25">
      <c r="A56" s="1">
        <v>44432</v>
      </c>
      <c r="B56">
        <v>10330</v>
      </c>
      <c r="C56">
        <v>566</v>
      </c>
      <c r="D56">
        <v>3520</v>
      </c>
    </row>
    <row r="57" spans="1:4" x14ac:dyDescent="0.25">
      <c r="A57" s="1">
        <v>44433</v>
      </c>
      <c r="B57">
        <v>12518</v>
      </c>
      <c r="C57">
        <v>633</v>
      </c>
      <c r="D57">
        <v>3749</v>
      </c>
    </row>
    <row r="58" spans="1:4" x14ac:dyDescent="0.25">
      <c r="A58" s="1">
        <v>44434</v>
      </c>
      <c r="B58">
        <v>15937</v>
      </c>
      <c r="C58">
        <v>1003</v>
      </c>
      <c r="D58">
        <v>4758</v>
      </c>
    </row>
    <row r="59" spans="1:4" x14ac:dyDescent="0.25">
      <c r="A59" s="1">
        <v>44435</v>
      </c>
      <c r="B59">
        <v>16341</v>
      </c>
      <c r="C59">
        <v>1304</v>
      </c>
      <c r="D59">
        <v>4899</v>
      </c>
    </row>
    <row r="60" spans="1:4" x14ac:dyDescent="0.25">
      <c r="A60" s="1">
        <v>44436</v>
      </c>
      <c r="B60">
        <v>19433</v>
      </c>
      <c r="C60">
        <v>1939</v>
      </c>
      <c r="D60">
        <v>4341</v>
      </c>
    </row>
    <row r="61" spans="1:4" x14ac:dyDescent="0.25">
      <c r="A61" s="1">
        <v>44437</v>
      </c>
      <c r="B61">
        <v>14835</v>
      </c>
      <c r="C61">
        <v>1459</v>
      </c>
      <c r="D61">
        <v>3472</v>
      </c>
    </row>
    <row r="62" spans="1:4" x14ac:dyDescent="0.25">
      <c r="A62" s="1">
        <v>44438</v>
      </c>
      <c r="B62">
        <v>14122</v>
      </c>
      <c r="C62">
        <v>927</v>
      </c>
      <c r="D62">
        <v>3492</v>
      </c>
    </row>
    <row r="63" spans="1:4" x14ac:dyDescent="0.25">
      <c r="A63" s="1">
        <v>44439</v>
      </c>
      <c r="B63">
        <v>14067</v>
      </c>
      <c r="C63">
        <v>731</v>
      </c>
      <c r="D63">
        <v>4170</v>
      </c>
    </row>
    <row r="64" spans="1:4" x14ac:dyDescent="0.25">
      <c r="A64" s="1">
        <v>44440</v>
      </c>
      <c r="B64">
        <v>16182</v>
      </c>
      <c r="C64">
        <v>749</v>
      </c>
      <c r="D64">
        <v>4027</v>
      </c>
    </row>
    <row r="65" spans="1:4" x14ac:dyDescent="0.25">
      <c r="A65" s="1">
        <v>44441</v>
      </c>
      <c r="B65">
        <v>15692</v>
      </c>
      <c r="C65">
        <v>907</v>
      </c>
      <c r="D65">
        <v>4018</v>
      </c>
    </row>
    <row r="66" spans="1:4" x14ac:dyDescent="0.25">
      <c r="A66" s="1">
        <v>44442</v>
      </c>
      <c r="B66">
        <v>13984</v>
      </c>
      <c r="C66">
        <v>1223</v>
      </c>
      <c r="D66">
        <v>4284</v>
      </c>
    </row>
    <row r="67" spans="1:4" x14ac:dyDescent="0.25">
      <c r="A67" s="1">
        <v>44443</v>
      </c>
      <c r="B67">
        <v>16991</v>
      </c>
      <c r="C67">
        <v>2253</v>
      </c>
      <c r="D67">
        <v>4103</v>
      </c>
    </row>
    <row r="68" spans="1:4" x14ac:dyDescent="0.25">
      <c r="A68" s="1">
        <v>44444</v>
      </c>
      <c r="B68">
        <v>20745</v>
      </c>
      <c r="C68">
        <v>2972</v>
      </c>
      <c r="D68">
        <v>4441</v>
      </c>
    </row>
    <row r="69" spans="1:4" x14ac:dyDescent="0.25">
      <c r="A69" s="1">
        <v>44445</v>
      </c>
      <c r="B69">
        <v>18474</v>
      </c>
      <c r="C69">
        <v>2224</v>
      </c>
      <c r="D69">
        <v>4088</v>
      </c>
    </row>
    <row r="70" spans="1:4" x14ac:dyDescent="0.25">
      <c r="A70" s="1">
        <v>44446</v>
      </c>
      <c r="B70">
        <v>11481</v>
      </c>
      <c r="C70">
        <v>647</v>
      </c>
      <c r="D70">
        <v>3776</v>
      </c>
    </row>
    <row r="71" spans="1:4" x14ac:dyDescent="0.25">
      <c r="A71" s="1">
        <v>44447</v>
      </c>
      <c r="B71">
        <v>15526</v>
      </c>
      <c r="C71">
        <v>773</v>
      </c>
      <c r="D71">
        <v>3868</v>
      </c>
    </row>
    <row r="72" spans="1:4" x14ac:dyDescent="0.25">
      <c r="A72" s="1">
        <v>44448</v>
      </c>
      <c r="B72">
        <v>15696</v>
      </c>
      <c r="C72">
        <v>769</v>
      </c>
      <c r="D72">
        <v>4305</v>
      </c>
    </row>
    <row r="73" spans="1:4" x14ac:dyDescent="0.25">
      <c r="A73" s="1">
        <v>44449</v>
      </c>
      <c r="B73">
        <v>16696</v>
      </c>
      <c r="C73">
        <v>1168</v>
      </c>
      <c r="D73">
        <v>4252</v>
      </c>
    </row>
    <row r="74" spans="1:4" x14ac:dyDescent="0.25">
      <c r="A74" s="1">
        <v>44450</v>
      </c>
      <c r="B74">
        <v>21128</v>
      </c>
      <c r="C74">
        <v>2245</v>
      </c>
      <c r="D74">
        <v>4701</v>
      </c>
    </row>
    <row r="75" spans="1:4" x14ac:dyDescent="0.25">
      <c r="A75" s="1">
        <v>44451</v>
      </c>
      <c r="B75">
        <v>17350</v>
      </c>
      <c r="C75">
        <v>1777</v>
      </c>
      <c r="D75">
        <v>3661</v>
      </c>
    </row>
    <row r="76" spans="1:4" x14ac:dyDescent="0.25">
      <c r="A76" s="1">
        <v>44452</v>
      </c>
      <c r="B76">
        <v>12899</v>
      </c>
      <c r="C76">
        <v>876</v>
      </c>
      <c r="D76">
        <v>3991</v>
      </c>
    </row>
    <row r="77" spans="1:4" x14ac:dyDescent="0.25">
      <c r="A77" s="1">
        <v>44453</v>
      </c>
      <c r="B77">
        <v>14644</v>
      </c>
      <c r="C77">
        <v>762</v>
      </c>
      <c r="D77">
        <v>3953</v>
      </c>
    </row>
    <row r="78" spans="1:4" x14ac:dyDescent="0.25">
      <c r="A78" s="1">
        <v>44454</v>
      </c>
      <c r="B78">
        <v>16515</v>
      </c>
      <c r="C78">
        <v>806</v>
      </c>
      <c r="D78">
        <v>3527</v>
      </c>
    </row>
    <row r="79" spans="1:4" x14ac:dyDescent="0.25">
      <c r="A79" s="1">
        <v>44455</v>
      </c>
      <c r="B79">
        <v>17270</v>
      </c>
      <c r="C79">
        <v>979</v>
      </c>
      <c r="D79">
        <v>4146</v>
      </c>
    </row>
    <row r="80" spans="1:4" x14ac:dyDescent="0.25">
      <c r="A80" s="1">
        <v>44456</v>
      </c>
      <c r="B80">
        <v>16408</v>
      </c>
      <c r="C80">
        <v>1363</v>
      </c>
      <c r="D80">
        <v>3956</v>
      </c>
    </row>
    <row r="81" spans="1:4" x14ac:dyDescent="0.25">
      <c r="A81" s="1">
        <v>44457</v>
      </c>
      <c r="B81">
        <v>20523</v>
      </c>
      <c r="C81">
        <v>2435</v>
      </c>
      <c r="D81">
        <v>4389</v>
      </c>
    </row>
    <row r="82" spans="1:4" x14ac:dyDescent="0.25">
      <c r="A82" s="1">
        <v>44458</v>
      </c>
      <c r="B82">
        <v>17711</v>
      </c>
      <c r="C82">
        <v>1812</v>
      </c>
      <c r="D82">
        <v>3953</v>
      </c>
    </row>
    <row r="83" spans="1:4" x14ac:dyDescent="0.25">
      <c r="A83" s="1">
        <v>44459</v>
      </c>
      <c r="B83">
        <v>11476</v>
      </c>
      <c r="C83">
        <v>675</v>
      </c>
      <c r="D83">
        <v>3817</v>
      </c>
    </row>
    <row r="84" spans="1:4" x14ac:dyDescent="0.25">
      <c r="A84" s="1">
        <v>44460</v>
      </c>
      <c r="B84">
        <v>10455</v>
      </c>
      <c r="C84">
        <v>393</v>
      </c>
      <c r="D84">
        <v>3610</v>
      </c>
    </row>
    <row r="85" spans="1:4" x14ac:dyDescent="0.25">
      <c r="A85" s="1">
        <v>44461</v>
      </c>
      <c r="B85">
        <v>10038</v>
      </c>
      <c r="C85">
        <v>297</v>
      </c>
      <c r="D85">
        <v>3303</v>
      </c>
    </row>
    <row r="86" spans="1:4" x14ac:dyDescent="0.25">
      <c r="A86" s="1">
        <v>44462</v>
      </c>
      <c r="B86">
        <v>12253</v>
      </c>
      <c r="C86">
        <v>428</v>
      </c>
      <c r="D86">
        <v>3971</v>
      </c>
    </row>
    <row r="87" spans="1:4" x14ac:dyDescent="0.25">
      <c r="A87" s="1">
        <v>44463</v>
      </c>
      <c r="B87">
        <v>14473</v>
      </c>
      <c r="C87">
        <v>946</v>
      </c>
      <c r="D87">
        <v>4406</v>
      </c>
    </row>
    <row r="88" spans="1:4" x14ac:dyDescent="0.25">
      <c r="A88" s="1">
        <v>44464</v>
      </c>
      <c r="B88">
        <v>18108</v>
      </c>
      <c r="C88">
        <v>1948</v>
      </c>
      <c r="D88">
        <v>4828</v>
      </c>
    </row>
    <row r="89" spans="1:4" x14ac:dyDescent="0.25">
      <c r="A89" s="1">
        <v>44465</v>
      </c>
      <c r="B89">
        <v>15327</v>
      </c>
      <c r="C89">
        <v>1638</v>
      </c>
      <c r="D89">
        <v>4751</v>
      </c>
    </row>
    <row r="90" spans="1:4" x14ac:dyDescent="0.25">
      <c r="A90" s="1">
        <v>44466</v>
      </c>
      <c r="B90">
        <v>12107</v>
      </c>
      <c r="C90">
        <v>677</v>
      </c>
      <c r="D90">
        <v>4472</v>
      </c>
    </row>
    <row r="91" spans="1:4" x14ac:dyDescent="0.25">
      <c r="A91" s="1">
        <v>44467</v>
      </c>
      <c r="B91">
        <v>12845</v>
      </c>
      <c r="C91">
        <v>525</v>
      </c>
      <c r="D91">
        <v>4905</v>
      </c>
    </row>
    <row r="92" spans="1:4" x14ac:dyDescent="0.25">
      <c r="A92" s="1">
        <v>44468</v>
      </c>
      <c r="B92">
        <v>14143</v>
      </c>
      <c r="C92">
        <v>507</v>
      </c>
      <c r="D92">
        <v>4506</v>
      </c>
    </row>
    <row r="93" spans="1:4" x14ac:dyDescent="0.25">
      <c r="A93" s="1">
        <v>44469</v>
      </c>
      <c r="B93">
        <v>13937</v>
      </c>
      <c r="C93">
        <v>563</v>
      </c>
      <c r="D93">
        <v>4728</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4E356-8FAA-4FCC-A5DC-8ABF720EE73E}">
  <dimension ref="A1:E93"/>
  <sheetViews>
    <sheetView workbookViewId="0">
      <selection activeCell="B3" sqref="B3"/>
    </sheetView>
  </sheetViews>
  <sheetFormatPr defaultRowHeight="15" x14ac:dyDescent="0.25"/>
  <cols>
    <col min="1" max="1" width="11.140625" bestFit="1" customWidth="1"/>
    <col min="2" max="2" width="10.85546875" bestFit="1" customWidth="1"/>
    <col min="3" max="3" width="9.5703125" bestFit="1" customWidth="1"/>
    <col min="4" max="4" width="8.7109375" bestFit="1" customWidth="1"/>
    <col min="5" max="5" width="10.85546875" bestFit="1" customWidth="1"/>
  </cols>
  <sheetData>
    <row r="1" spans="1:5" x14ac:dyDescent="0.25">
      <c r="A1" t="s">
        <v>0</v>
      </c>
      <c r="B1" t="s">
        <v>1</v>
      </c>
      <c r="C1" t="s">
        <v>2</v>
      </c>
      <c r="D1" t="s">
        <v>3</v>
      </c>
      <c r="E1" t="s">
        <v>4</v>
      </c>
    </row>
    <row r="2" spans="1:5" x14ac:dyDescent="0.25">
      <c r="A2">
        <v>0</v>
      </c>
      <c r="B2" s="1">
        <v>44378</v>
      </c>
      <c r="C2">
        <v>20661</v>
      </c>
      <c r="D2">
        <v>9276</v>
      </c>
      <c r="E2">
        <v>11385</v>
      </c>
    </row>
    <row r="3" spans="1:5" x14ac:dyDescent="0.25">
      <c r="A3">
        <v>1</v>
      </c>
      <c r="B3" s="1">
        <v>44379</v>
      </c>
      <c r="C3">
        <v>22326</v>
      </c>
      <c r="D3">
        <v>11392</v>
      </c>
      <c r="E3">
        <v>10934</v>
      </c>
    </row>
    <row r="4" spans="1:5" x14ac:dyDescent="0.25">
      <c r="A4">
        <v>2</v>
      </c>
      <c r="B4" s="1">
        <v>44380</v>
      </c>
      <c r="C4">
        <v>28036</v>
      </c>
      <c r="D4">
        <v>18533</v>
      </c>
      <c r="E4">
        <v>9503</v>
      </c>
    </row>
    <row r="5" spans="1:5" x14ac:dyDescent="0.25">
      <c r="A5">
        <v>3</v>
      </c>
      <c r="B5" s="1">
        <v>44381</v>
      </c>
      <c r="C5">
        <v>28086</v>
      </c>
      <c r="D5">
        <v>19864</v>
      </c>
      <c r="E5">
        <v>8222</v>
      </c>
    </row>
    <row r="6" spans="1:5" x14ac:dyDescent="0.25">
      <c r="A6">
        <v>4</v>
      </c>
      <c r="B6" s="1">
        <v>44382</v>
      </c>
      <c r="C6">
        <v>23317</v>
      </c>
      <c r="D6">
        <v>14529</v>
      </c>
      <c r="E6">
        <v>8788</v>
      </c>
    </row>
    <row r="7" spans="1:5" x14ac:dyDescent="0.25">
      <c r="A7">
        <v>5</v>
      </c>
      <c r="B7" s="1">
        <v>44383</v>
      </c>
      <c r="C7">
        <v>19473</v>
      </c>
      <c r="D7">
        <v>9269</v>
      </c>
      <c r="E7">
        <v>10204</v>
      </c>
    </row>
    <row r="8" spans="1:5" x14ac:dyDescent="0.25">
      <c r="A8">
        <v>6</v>
      </c>
      <c r="B8" s="1">
        <v>44384</v>
      </c>
      <c r="C8">
        <v>19111</v>
      </c>
      <c r="D8">
        <v>8618</v>
      </c>
      <c r="E8">
        <v>10493</v>
      </c>
    </row>
    <row r="9" spans="1:5" x14ac:dyDescent="0.25">
      <c r="A9">
        <v>7</v>
      </c>
      <c r="B9" s="1">
        <v>44385</v>
      </c>
      <c r="C9">
        <v>19031</v>
      </c>
      <c r="D9">
        <v>8553</v>
      </c>
      <c r="E9">
        <v>10478</v>
      </c>
    </row>
    <row r="10" spans="1:5" x14ac:dyDescent="0.25">
      <c r="A10">
        <v>8</v>
      </c>
      <c r="B10" s="1">
        <v>44386</v>
      </c>
      <c r="C10">
        <v>24713</v>
      </c>
      <c r="D10">
        <v>13386</v>
      </c>
      <c r="E10">
        <v>11327</v>
      </c>
    </row>
    <row r="11" spans="1:5" x14ac:dyDescent="0.25">
      <c r="A11">
        <v>9</v>
      </c>
      <c r="B11" s="1">
        <v>44387</v>
      </c>
      <c r="C11">
        <v>20944</v>
      </c>
      <c r="D11">
        <v>12792</v>
      </c>
      <c r="E11">
        <v>8152</v>
      </c>
    </row>
    <row r="12" spans="1:5" x14ac:dyDescent="0.25">
      <c r="A12">
        <v>10</v>
      </c>
      <c r="B12" s="1">
        <v>44388</v>
      </c>
      <c r="C12">
        <v>10558</v>
      </c>
      <c r="D12">
        <v>5705</v>
      </c>
      <c r="E12">
        <v>4853</v>
      </c>
    </row>
    <row r="13" spans="1:5" x14ac:dyDescent="0.25">
      <c r="A13">
        <v>11</v>
      </c>
      <c r="B13" s="1">
        <v>44389</v>
      </c>
      <c r="C13">
        <v>16634</v>
      </c>
      <c r="D13">
        <v>7169</v>
      </c>
      <c r="E13">
        <v>9465</v>
      </c>
    </row>
    <row r="14" spans="1:5" x14ac:dyDescent="0.25">
      <c r="A14">
        <v>12</v>
      </c>
      <c r="B14" s="1">
        <v>44390</v>
      </c>
      <c r="C14">
        <v>19040</v>
      </c>
      <c r="D14">
        <v>8145</v>
      </c>
      <c r="E14">
        <v>10895</v>
      </c>
    </row>
    <row r="15" spans="1:5" x14ac:dyDescent="0.25">
      <c r="A15">
        <v>13</v>
      </c>
      <c r="B15" s="1">
        <v>44391</v>
      </c>
      <c r="C15">
        <v>21134</v>
      </c>
      <c r="D15">
        <v>9468</v>
      </c>
      <c r="E15">
        <v>11666</v>
      </c>
    </row>
    <row r="16" spans="1:5" x14ac:dyDescent="0.25">
      <c r="A16">
        <v>14</v>
      </c>
      <c r="B16" s="1">
        <v>44392</v>
      </c>
      <c r="C16">
        <v>17094</v>
      </c>
      <c r="D16">
        <v>7533</v>
      </c>
      <c r="E16">
        <v>9561</v>
      </c>
    </row>
    <row r="17" spans="1:5" x14ac:dyDescent="0.25">
      <c r="A17">
        <v>15</v>
      </c>
      <c r="B17" s="1">
        <v>44393</v>
      </c>
      <c r="C17">
        <v>19541</v>
      </c>
      <c r="D17">
        <v>9438</v>
      </c>
      <c r="E17">
        <v>10103</v>
      </c>
    </row>
    <row r="18" spans="1:5" x14ac:dyDescent="0.25">
      <c r="A18">
        <v>16</v>
      </c>
      <c r="B18" s="1">
        <v>44394</v>
      </c>
      <c r="C18">
        <v>31877</v>
      </c>
      <c r="D18">
        <v>20269</v>
      </c>
      <c r="E18">
        <v>11608</v>
      </c>
    </row>
    <row r="19" spans="1:5" x14ac:dyDescent="0.25">
      <c r="A19">
        <v>17</v>
      </c>
      <c r="B19" s="1">
        <v>44395</v>
      </c>
      <c r="C19">
        <v>27353</v>
      </c>
      <c r="D19">
        <v>17222</v>
      </c>
      <c r="E19">
        <v>10131</v>
      </c>
    </row>
    <row r="20" spans="1:5" x14ac:dyDescent="0.25">
      <c r="A20">
        <v>18</v>
      </c>
      <c r="B20" s="1">
        <v>44396</v>
      </c>
      <c r="C20">
        <v>19867</v>
      </c>
      <c r="D20">
        <v>9294</v>
      </c>
      <c r="E20">
        <v>10573</v>
      </c>
    </row>
    <row r="21" spans="1:5" x14ac:dyDescent="0.25">
      <c r="A21">
        <v>19</v>
      </c>
      <c r="B21" s="1">
        <v>44397</v>
      </c>
      <c r="C21">
        <v>21587</v>
      </c>
      <c r="D21">
        <v>9782</v>
      </c>
      <c r="E21">
        <v>11805</v>
      </c>
    </row>
    <row r="22" spans="1:5" x14ac:dyDescent="0.25">
      <c r="A22">
        <v>20</v>
      </c>
      <c r="B22" s="1">
        <v>44398</v>
      </c>
      <c r="C22">
        <v>21291</v>
      </c>
      <c r="D22">
        <v>9337</v>
      </c>
      <c r="E22">
        <v>11954</v>
      </c>
    </row>
    <row r="23" spans="1:5" x14ac:dyDescent="0.25">
      <c r="A23">
        <v>21</v>
      </c>
      <c r="B23" s="1">
        <v>44399</v>
      </c>
      <c r="C23">
        <v>21986</v>
      </c>
      <c r="D23">
        <v>9812</v>
      </c>
      <c r="E23">
        <v>12174</v>
      </c>
    </row>
    <row r="24" spans="1:5" x14ac:dyDescent="0.25">
      <c r="A24">
        <v>22</v>
      </c>
      <c r="B24" s="1">
        <v>44400</v>
      </c>
      <c r="C24">
        <v>21713</v>
      </c>
      <c r="D24">
        <v>11215</v>
      </c>
      <c r="E24">
        <v>10498</v>
      </c>
    </row>
    <row r="25" spans="1:5" x14ac:dyDescent="0.25">
      <c r="A25">
        <v>23</v>
      </c>
      <c r="B25" s="1">
        <v>44401</v>
      </c>
      <c r="C25">
        <v>27322</v>
      </c>
      <c r="D25">
        <v>17360</v>
      </c>
      <c r="E25">
        <v>9962</v>
      </c>
    </row>
    <row r="26" spans="1:5" x14ac:dyDescent="0.25">
      <c r="A26">
        <v>24</v>
      </c>
      <c r="B26" s="1">
        <v>44402</v>
      </c>
      <c r="C26">
        <v>26978</v>
      </c>
      <c r="D26">
        <v>16764</v>
      </c>
      <c r="E26">
        <v>10214</v>
      </c>
    </row>
    <row r="27" spans="1:5" x14ac:dyDescent="0.25">
      <c r="A27">
        <v>25</v>
      </c>
      <c r="B27" s="1">
        <v>44403</v>
      </c>
      <c r="C27">
        <v>20321</v>
      </c>
      <c r="D27">
        <v>9384</v>
      </c>
      <c r="E27">
        <v>10937</v>
      </c>
    </row>
    <row r="28" spans="1:5" x14ac:dyDescent="0.25">
      <c r="A28">
        <v>26</v>
      </c>
      <c r="B28" s="1">
        <v>44404</v>
      </c>
      <c r="C28">
        <v>21350</v>
      </c>
      <c r="D28">
        <v>9535</v>
      </c>
      <c r="E28">
        <v>11815</v>
      </c>
    </row>
    <row r="29" spans="1:5" x14ac:dyDescent="0.25">
      <c r="A29">
        <v>27</v>
      </c>
      <c r="B29" s="1">
        <v>44405</v>
      </c>
      <c r="C29">
        <v>22253</v>
      </c>
      <c r="D29">
        <v>10532</v>
      </c>
      <c r="E29">
        <v>11721</v>
      </c>
    </row>
    <row r="30" spans="1:5" x14ac:dyDescent="0.25">
      <c r="A30">
        <v>28</v>
      </c>
      <c r="B30" s="1">
        <v>44406</v>
      </c>
      <c r="C30">
        <v>22841</v>
      </c>
      <c r="D30">
        <v>11431</v>
      </c>
      <c r="E30">
        <v>11410</v>
      </c>
    </row>
    <row r="31" spans="1:5" x14ac:dyDescent="0.25">
      <c r="A31">
        <v>29</v>
      </c>
      <c r="B31" s="1">
        <v>44407</v>
      </c>
      <c r="C31">
        <v>24917</v>
      </c>
      <c r="D31">
        <v>13833</v>
      </c>
      <c r="E31">
        <v>11084</v>
      </c>
    </row>
    <row r="32" spans="1:5" x14ac:dyDescent="0.25">
      <c r="A32">
        <v>30</v>
      </c>
      <c r="B32" s="1">
        <v>44408</v>
      </c>
      <c r="C32">
        <v>30966</v>
      </c>
      <c r="D32">
        <v>19975</v>
      </c>
      <c r="E32">
        <v>10991</v>
      </c>
    </row>
    <row r="33" spans="1:5" x14ac:dyDescent="0.25">
      <c r="A33">
        <v>31</v>
      </c>
      <c r="B33" s="1">
        <v>44409</v>
      </c>
      <c r="C33">
        <v>25601</v>
      </c>
      <c r="D33">
        <v>16225</v>
      </c>
      <c r="E33">
        <v>9376</v>
      </c>
    </row>
    <row r="34" spans="1:5" x14ac:dyDescent="0.25">
      <c r="A34">
        <v>32</v>
      </c>
      <c r="B34" s="1">
        <v>44410</v>
      </c>
      <c r="C34">
        <v>19443</v>
      </c>
      <c r="D34">
        <v>9094</v>
      </c>
      <c r="E34">
        <v>10349</v>
      </c>
    </row>
    <row r="35" spans="1:5" x14ac:dyDescent="0.25">
      <c r="A35">
        <v>33</v>
      </c>
      <c r="B35" s="1">
        <v>44411</v>
      </c>
      <c r="C35">
        <v>20559</v>
      </c>
      <c r="D35">
        <v>9177</v>
      </c>
      <c r="E35">
        <v>11382</v>
      </c>
    </row>
    <row r="36" spans="1:5" x14ac:dyDescent="0.25">
      <c r="A36">
        <v>34</v>
      </c>
      <c r="B36" s="1">
        <v>44412</v>
      </c>
      <c r="C36">
        <v>21065</v>
      </c>
      <c r="D36">
        <v>9397</v>
      </c>
      <c r="E36">
        <v>11668</v>
      </c>
    </row>
    <row r="37" spans="1:5" x14ac:dyDescent="0.25">
      <c r="A37">
        <v>35</v>
      </c>
      <c r="B37" s="1">
        <v>44413</v>
      </c>
      <c r="C37">
        <v>21927</v>
      </c>
      <c r="D37">
        <v>10326</v>
      </c>
      <c r="E37">
        <v>11601</v>
      </c>
    </row>
    <row r="38" spans="1:5" x14ac:dyDescent="0.25">
      <c r="A38">
        <v>36</v>
      </c>
      <c r="B38" s="1">
        <v>44414</v>
      </c>
      <c r="C38">
        <v>22585</v>
      </c>
      <c r="D38">
        <v>11966</v>
      </c>
      <c r="E38">
        <v>10619</v>
      </c>
    </row>
    <row r="39" spans="1:5" x14ac:dyDescent="0.25">
      <c r="A39">
        <v>37</v>
      </c>
      <c r="B39" s="1">
        <v>44415</v>
      </c>
      <c r="C39">
        <v>30467</v>
      </c>
      <c r="D39">
        <v>19488</v>
      </c>
      <c r="E39">
        <v>10979</v>
      </c>
    </row>
    <row r="40" spans="1:5" x14ac:dyDescent="0.25">
      <c r="A40">
        <v>38</v>
      </c>
      <c r="B40" s="1">
        <v>44416</v>
      </c>
      <c r="C40">
        <v>23038</v>
      </c>
      <c r="D40">
        <v>14104</v>
      </c>
      <c r="E40">
        <v>8934</v>
      </c>
    </row>
    <row r="41" spans="1:5" x14ac:dyDescent="0.25">
      <c r="A41">
        <v>39</v>
      </c>
      <c r="B41" s="1">
        <v>44417</v>
      </c>
      <c r="C41">
        <v>14026</v>
      </c>
      <c r="D41">
        <v>5953</v>
      </c>
      <c r="E41">
        <v>8073</v>
      </c>
    </row>
    <row r="42" spans="1:5" x14ac:dyDescent="0.25">
      <c r="A42">
        <v>40</v>
      </c>
      <c r="B42" s="1">
        <v>44418</v>
      </c>
      <c r="C42">
        <v>17085</v>
      </c>
      <c r="D42">
        <v>7154</v>
      </c>
      <c r="E42">
        <v>9931</v>
      </c>
    </row>
    <row r="43" spans="1:5" x14ac:dyDescent="0.25">
      <c r="A43">
        <v>41</v>
      </c>
      <c r="B43" s="1">
        <v>44419</v>
      </c>
      <c r="C43">
        <v>17845</v>
      </c>
      <c r="D43">
        <v>7283</v>
      </c>
      <c r="E43">
        <v>10562</v>
      </c>
    </row>
    <row r="44" spans="1:5" x14ac:dyDescent="0.25">
      <c r="A44">
        <v>42</v>
      </c>
      <c r="B44" s="1">
        <v>44420</v>
      </c>
      <c r="C44">
        <v>20310</v>
      </c>
      <c r="D44">
        <v>8953</v>
      </c>
      <c r="E44">
        <v>11357</v>
      </c>
    </row>
    <row r="45" spans="1:5" x14ac:dyDescent="0.25">
      <c r="A45">
        <v>43</v>
      </c>
      <c r="B45" s="1">
        <v>44421</v>
      </c>
      <c r="C45">
        <v>24250</v>
      </c>
      <c r="D45">
        <v>12357</v>
      </c>
      <c r="E45">
        <v>11893</v>
      </c>
    </row>
    <row r="46" spans="1:5" x14ac:dyDescent="0.25">
      <c r="A46">
        <v>44</v>
      </c>
      <c r="B46" s="1">
        <v>44422</v>
      </c>
      <c r="C46">
        <v>32693</v>
      </c>
      <c r="D46">
        <v>20267</v>
      </c>
      <c r="E46">
        <v>12426</v>
      </c>
    </row>
    <row r="47" spans="1:5" x14ac:dyDescent="0.25">
      <c r="A47">
        <v>45</v>
      </c>
      <c r="B47" s="1">
        <v>44423</v>
      </c>
      <c r="C47">
        <v>26922</v>
      </c>
      <c r="D47">
        <v>16362</v>
      </c>
      <c r="E47">
        <v>10560</v>
      </c>
    </row>
    <row r="48" spans="1:5" x14ac:dyDescent="0.25">
      <c r="A48">
        <v>46</v>
      </c>
      <c r="B48" s="1">
        <v>44424</v>
      </c>
      <c r="C48">
        <v>19543</v>
      </c>
      <c r="D48">
        <v>8710</v>
      </c>
      <c r="E48">
        <v>10833</v>
      </c>
    </row>
    <row r="49" spans="1:5" x14ac:dyDescent="0.25">
      <c r="A49">
        <v>47</v>
      </c>
      <c r="B49" s="1">
        <v>44425</v>
      </c>
      <c r="C49">
        <v>20916</v>
      </c>
      <c r="D49">
        <v>8847</v>
      </c>
      <c r="E49">
        <v>12069</v>
      </c>
    </row>
    <row r="50" spans="1:5" x14ac:dyDescent="0.25">
      <c r="A50">
        <v>48</v>
      </c>
      <c r="B50" s="1">
        <v>44426</v>
      </c>
      <c r="C50">
        <v>21129</v>
      </c>
      <c r="D50">
        <v>9093</v>
      </c>
      <c r="E50">
        <v>12036</v>
      </c>
    </row>
    <row r="51" spans="1:5" x14ac:dyDescent="0.25">
      <c r="A51">
        <v>49</v>
      </c>
      <c r="B51" s="1">
        <v>44427</v>
      </c>
      <c r="C51">
        <v>21063</v>
      </c>
      <c r="D51">
        <v>9517</v>
      </c>
      <c r="E51">
        <v>11546</v>
      </c>
    </row>
    <row r="52" spans="1:5" x14ac:dyDescent="0.25">
      <c r="A52">
        <v>50</v>
      </c>
      <c r="B52" s="1">
        <v>44428</v>
      </c>
      <c r="C52">
        <v>23525</v>
      </c>
      <c r="D52">
        <v>12490</v>
      </c>
      <c r="E52">
        <v>11035</v>
      </c>
    </row>
    <row r="53" spans="1:5" x14ac:dyDescent="0.25">
      <c r="A53">
        <v>51</v>
      </c>
      <c r="B53" s="1">
        <v>44429</v>
      </c>
      <c r="C53">
        <v>26591</v>
      </c>
      <c r="D53">
        <v>16663</v>
      </c>
      <c r="E53">
        <v>9928</v>
      </c>
    </row>
    <row r="54" spans="1:5" x14ac:dyDescent="0.25">
      <c r="A54">
        <v>52</v>
      </c>
      <c r="B54" s="1">
        <v>44430</v>
      </c>
      <c r="C54">
        <v>25823</v>
      </c>
      <c r="D54">
        <v>15771</v>
      </c>
      <c r="E54">
        <v>10052</v>
      </c>
    </row>
    <row r="55" spans="1:5" x14ac:dyDescent="0.25">
      <c r="A55">
        <v>53</v>
      </c>
      <c r="B55" s="1">
        <v>44431</v>
      </c>
      <c r="C55">
        <v>19457</v>
      </c>
      <c r="D55">
        <v>8467</v>
      </c>
      <c r="E55">
        <v>10990</v>
      </c>
    </row>
    <row r="56" spans="1:5" x14ac:dyDescent="0.25">
      <c r="A56">
        <v>54</v>
      </c>
      <c r="B56" s="1">
        <v>44432</v>
      </c>
      <c r="C56">
        <v>14416</v>
      </c>
      <c r="D56">
        <v>5287</v>
      </c>
      <c r="E56">
        <v>9129</v>
      </c>
    </row>
    <row r="57" spans="1:5" x14ac:dyDescent="0.25">
      <c r="A57">
        <v>55</v>
      </c>
      <c r="B57" s="1">
        <v>44433</v>
      </c>
      <c r="C57">
        <v>16900</v>
      </c>
      <c r="D57">
        <v>6534</v>
      </c>
      <c r="E57">
        <v>10366</v>
      </c>
    </row>
    <row r="58" spans="1:5" x14ac:dyDescent="0.25">
      <c r="A58">
        <v>56</v>
      </c>
      <c r="B58" s="1">
        <v>44434</v>
      </c>
      <c r="C58">
        <v>21698</v>
      </c>
      <c r="D58">
        <v>9426</v>
      </c>
      <c r="E58">
        <v>12272</v>
      </c>
    </row>
    <row r="59" spans="1:5" x14ac:dyDescent="0.25">
      <c r="A59">
        <v>57</v>
      </c>
      <c r="B59" s="1">
        <v>44435</v>
      </c>
      <c r="C59">
        <v>22544</v>
      </c>
      <c r="D59">
        <v>11363</v>
      </c>
      <c r="E59">
        <v>11181</v>
      </c>
    </row>
    <row r="60" spans="1:5" x14ac:dyDescent="0.25">
      <c r="A60">
        <v>58</v>
      </c>
      <c r="B60" s="1">
        <v>44436</v>
      </c>
      <c r="C60">
        <v>25713</v>
      </c>
      <c r="D60">
        <v>15472</v>
      </c>
      <c r="E60">
        <v>10241</v>
      </c>
    </row>
    <row r="61" spans="1:5" x14ac:dyDescent="0.25">
      <c r="A61">
        <v>59</v>
      </c>
      <c r="B61" s="1">
        <v>44437</v>
      </c>
      <c r="C61">
        <v>19766</v>
      </c>
      <c r="D61">
        <v>10927</v>
      </c>
      <c r="E61">
        <v>8839</v>
      </c>
    </row>
    <row r="62" spans="1:5" x14ac:dyDescent="0.25">
      <c r="A62">
        <v>60</v>
      </c>
      <c r="B62" s="1">
        <v>44438</v>
      </c>
      <c r="C62">
        <v>18541</v>
      </c>
      <c r="D62">
        <v>7633</v>
      </c>
      <c r="E62">
        <v>10908</v>
      </c>
    </row>
    <row r="63" spans="1:5" x14ac:dyDescent="0.25">
      <c r="A63">
        <v>61</v>
      </c>
      <c r="B63" s="1">
        <v>44439</v>
      </c>
      <c r="C63">
        <v>18968</v>
      </c>
      <c r="D63">
        <v>7170</v>
      </c>
      <c r="E63">
        <v>11798</v>
      </c>
    </row>
    <row r="64" spans="1:5" x14ac:dyDescent="0.25">
      <c r="A64">
        <v>62</v>
      </c>
      <c r="B64" s="1">
        <v>44440</v>
      </c>
      <c r="C64">
        <v>20958</v>
      </c>
      <c r="D64">
        <v>8240</v>
      </c>
      <c r="E64">
        <v>12718</v>
      </c>
    </row>
    <row r="65" spans="1:5" x14ac:dyDescent="0.25">
      <c r="A65">
        <v>63</v>
      </c>
      <c r="B65" s="1">
        <v>44441</v>
      </c>
      <c r="C65">
        <v>20617</v>
      </c>
      <c r="D65">
        <v>8770</v>
      </c>
      <c r="E65">
        <v>11847</v>
      </c>
    </row>
    <row r="66" spans="1:5" x14ac:dyDescent="0.25">
      <c r="A66">
        <v>64</v>
      </c>
      <c r="B66" s="1">
        <v>44442</v>
      </c>
      <c r="C66">
        <v>19491</v>
      </c>
      <c r="D66">
        <v>9490</v>
      </c>
      <c r="E66">
        <v>10001</v>
      </c>
    </row>
    <row r="67" spans="1:5" x14ac:dyDescent="0.25">
      <c r="A67">
        <v>65</v>
      </c>
      <c r="B67" s="1">
        <v>44443</v>
      </c>
      <c r="C67">
        <v>23347</v>
      </c>
      <c r="D67">
        <v>14518</v>
      </c>
      <c r="E67">
        <v>8829</v>
      </c>
    </row>
    <row r="68" spans="1:5" x14ac:dyDescent="0.25">
      <c r="A68">
        <v>66</v>
      </c>
      <c r="B68" s="1">
        <v>44444</v>
      </c>
      <c r="C68">
        <v>28158</v>
      </c>
      <c r="D68">
        <v>18801</v>
      </c>
      <c r="E68">
        <v>9357</v>
      </c>
    </row>
    <row r="69" spans="1:5" x14ac:dyDescent="0.25">
      <c r="A69">
        <v>67</v>
      </c>
      <c r="B69" s="1">
        <v>44445</v>
      </c>
      <c r="C69">
        <v>24786</v>
      </c>
      <c r="D69">
        <v>15415</v>
      </c>
      <c r="E69">
        <v>9371</v>
      </c>
    </row>
    <row r="70" spans="1:5" x14ac:dyDescent="0.25">
      <c r="A70">
        <v>68</v>
      </c>
      <c r="B70" s="1">
        <v>44446</v>
      </c>
      <c r="C70">
        <v>15904</v>
      </c>
      <c r="D70">
        <v>6039</v>
      </c>
      <c r="E70">
        <v>9865</v>
      </c>
    </row>
    <row r="71" spans="1:5" x14ac:dyDescent="0.25">
      <c r="A71">
        <v>69</v>
      </c>
      <c r="B71" s="1">
        <v>44447</v>
      </c>
      <c r="C71">
        <v>20167</v>
      </c>
      <c r="D71">
        <v>7721</v>
      </c>
      <c r="E71">
        <v>12446</v>
      </c>
    </row>
    <row r="72" spans="1:5" x14ac:dyDescent="0.25">
      <c r="A72">
        <v>70</v>
      </c>
      <c r="B72" s="1">
        <v>44448</v>
      </c>
      <c r="C72">
        <v>20770</v>
      </c>
      <c r="D72">
        <v>8285</v>
      </c>
      <c r="E72">
        <v>12485</v>
      </c>
    </row>
    <row r="73" spans="1:5" x14ac:dyDescent="0.25">
      <c r="A73">
        <v>71</v>
      </c>
      <c r="B73" s="1">
        <v>44449</v>
      </c>
      <c r="C73">
        <v>22116</v>
      </c>
      <c r="D73">
        <v>10255</v>
      </c>
      <c r="E73">
        <v>11861</v>
      </c>
    </row>
    <row r="74" spans="1:5" x14ac:dyDescent="0.25">
      <c r="A74">
        <v>72</v>
      </c>
      <c r="B74" s="1">
        <v>44450</v>
      </c>
      <c r="C74">
        <v>28074</v>
      </c>
      <c r="D74">
        <v>16784</v>
      </c>
      <c r="E74">
        <v>11290</v>
      </c>
    </row>
    <row r="75" spans="1:5" x14ac:dyDescent="0.25">
      <c r="A75">
        <v>73</v>
      </c>
      <c r="B75" s="1">
        <v>44451</v>
      </c>
      <c r="C75">
        <v>22788</v>
      </c>
      <c r="D75">
        <v>12757</v>
      </c>
      <c r="E75">
        <v>10031</v>
      </c>
    </row>
    <row r="76" spans="1:5" x14ac:dyDescent="0.25">
      <c r="A76">
        <v>74</v>
      </c>
      <c r="B76" s="1">
        <v>44452</v>
      </c>
      <c r="C76">
        <v>17766</v>
      </c>
      <c r="D76">
        <v>6908</v>
      </c>
      <c r="E76">
        <v>10858</v>
      </c>
    </row>
    <row r="77" spans="1:5" x14ac:dyDescent="0.25">
      <c r="A77">
        <v>75</v>
      </c>
      <c r="B77" s="1">
        <v>44453</v>
      </c>
      <c r="C77">
        <v>19359</v>
      </c>
      <c r="D77">
        <v>7118</v>
      </c>
      <c r="E77">
        <v>12241</v>
      </c>
    </row>
    <row r="78" spans="1:5" x14ac:dyDescent="0.25">
      <c r="A78">
        <v>76</v>
      </c>
      <c r="B78" s="1">
        <v>44454</v>
      </c>
      <c r="C78">
        <v>20848</v>
      </c>
      <c r="D78">
        <v>8211</v>
      </c>
      <c r="E78">
        <v>12637</v>
      </c>
    </row>
    <row r="79" spans="1:5" x14ac:dyDescent="0.25">
      <c r="A79">
        <v>77</v>
      </c>
      <c r="B79" s="1">
        <v>44455</v>
      </c>
      <c r="C79">
        <v>22395</v>
      </c>
      <c r="D79">
        <v>9788</v>
      </c>
      <c r="E79">
        <v>12607</v>
      </c>
    </row>
    <row r="80" spans="1:5" x14ac:dyDescent="0.25">
      <c r="A80">
        <v>78</v>
      </c>
      <c r="B80" s="1">
        <v>44456</v>
      </c>
      <c r="C80">
        <v>21727</v>
      </c>
      <c r="D80">
        <v>10709</v>
      </c>
      <c r="E80">
        <v>11018</v>
      </c>
    </row>
    <row r="81" spans="1:5" x14ac:dyDescent="0.25">
      <c r="A81">
        <v>79</v>
      </c>
      <c r="B81" s="1">
        <v>44457</v>
      </c>
      <c r="C81">
        <v>27347</v>
      </c>
      <c r="D81">
        <v>16438</v>
      </c>
      <c r="E81">
        <v>10909</v>
      </c>
    </row>
    <row r="82" spans="1:5" x14ac:dyDescent="0.25">
      <c r="A82">
        <v>80</v>
      </c>
      <c r="B82" s="1">
        <v>44458</v>
      </c>
      <c r="C82">
        <v>23476</v>
      </c>
      <c r="D82">
        <v>13762</v>
      </c>
      <c r="E82">
        <v>9714</v>
      </c>
    </row>
    <row r="83" spans="1:5" x14ac:dyDescent="0.25">
      <c r="A83">
        <v>81</v>
      </c>
      <c r="B83" s="1">
        <v>44459</v>
      </c>
      <c r="C83">
        <v>15968</v>
      </c>
      <c r="D83">
        <v>6068</v>
      </c>
      <c r="E83">
        <v>9900</v>
      </c>
    </row>
    <row r="84" spans="1:5" x14ac:dyDescent="0.25">
      <c r="A84">
        <v>82</v>
      </c>
      <c r="B84" s="1">
        <v>44460</v>
      </c>
      <c r="C84">
        <v>14458</v>
      </c>
      <c r="D84">
        <v>4851</v>
      </c>
      <c r="E84">
        <v>9607</v>
      </c>
    </row>
    <row r="85" spans="1:5" x14ac:dyDescent="0.25">
      <c r="A85">
        <v>83</v>
      </c>
      <c r="B85" s="1">
        <v>44461</v>
      </c>
      <c r="C85">
        <v>13638</v>
      </c>
      <c r="D85">
        <v>4324</v>
      </c>
      <c r="E85">
        <v>9314</v>
      </c>
    </row>
    <row r="86" spans="1:5" x14ac:dyDescent="0.25">
      <c r="A86">
        <v>84</v>
      </c>
      <c r="B86" s="1">
        <v>44462</v>
      </c>
      <c r="C86">
        <v>16652</v>
      </c>
      <c r="D86">
        <v>5773</v>
      </c>
      <c r="E86">
        <v>10879</v>
      </c>
    </row>
    <row r="87" spans="1:5" x14ac:dyDescent="0.25">
      <c r="A87">
        <v>85</v>
      </c>
      <c r="B87" s="1">
        <v>44463</v>
      </c>
      <c r="C87">
        <v>19825</v>
      </c>
      <c r="D87">
        <v>8927</v>
      </c>
      <c r="E87">
        <v>10898</v>
      </c>
    </row>
    <row r="88" spans="1:5" x14ac:dyDescent="0.25">
      <c r="A88">
        <v>86</v>
      </c>
      <c r="B88" s="1">
        <v>44464</v>
      </c>
      <c r="C88">
        <v>24884</v>
      </c>
      <c r="D88">
        <v>14516</v>
      </c>
      <c r="E88">
        <v>10368</v>
      </c>
    </row>
    <row r="89" spans="1:5" x14ac:dyDescent="0.25">
      <c r="A89">
        <v>87</v>
      </c>
      <c r="B89" s="1">
        <v>44465</v>
      </c>
      <c r="C89">
        <v>21716</v>
      </c>
      <c r="D89">
        <v>12130</v>
      </c>
      <c r="E89">
        <v>9586</v>
      </c>
    </row>
    <row r="90" spans="1:5" x14ac:dyDescent="0.25">
      <c r="A90">
        <v>88</v>
      </c>
      <c r="B90" s="1">
        <v>44466</v>
      </c>
      <c r="C90">
        <v>17256</v>
      </c>
      <c r="D90">
        <v>6365</v>
      </c>
      <c r="E90">
        <v>10891</v>
      </c>
    </row>
    <row r="91" spans="1:5" x14ac:dyDescent="0.25">
      <c r="A91">
        <v>89</v>
      </c>
      <c r="B91" s="1">
        <v>44467</v>
      </c>
      <c r="C91">
        <v>18275</v>
      </c>
      <c r="D91">
        <v>6315</v>
      </c>
      <c r="E91">
        <v>11960</v>
      </c>
    </row>
    <row r="92" spans="1:5" x14ac:dyDescent="0.25">
      <c r="A92">
        <v>90</v>
      </c>
      <c r="B92" s="1">
        <v>44468</v>
      </c>
      <c r="C92">
        <v>19156</v>
      </c>
      <c r="D92">
        <v>6711</v>
      </c>
      <c r="E92">
        <v>12445</v>
      </c>
    </row>
    <row r="93" spans="1:5" x14ac:dyDescent="0.25">
      <c r="A93">
        <v>91</v>
      </c>
      <c r="B93" s="1">
        <v>44469</v>
      </c>
      <c r="C93">
        <v>19228</v>
      </c>
      <c r="D93">
        <v>6942</v>
      </c>
      <c r="E93">
        <v>12286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593C-627E-4A11-9F83-CF06434FF1B7}">
  <dimension ref="A3:I40"/>
  <sheetViews>
    <sheetView workbookViewId="0">
      <selection activeCell="G25" sqref="G25:I28"/>
    </sheetView>
  </sheetViews>
  <sheetFormatPr defaultRowHeight="15" x14ac:dyDescent="0.25"/>
  <cols>
    <col min="1" max="1" width="14" bestFit="1" customWidth="1"/>
    <col min="2" max="2" width="10.28515625" bestFit="1" customWidth="1"/>
    <col min="3" max="3" width="12" bestFit="1" customWidth="1"/>
    <col min="4" max="4" width="14.140625" bestFit="1" customWidth="1"/>
    <col min="5" max="5" width="14" bestFit="1" customWidth="1"/>
    <col min="6" max="6" width="11.28515625" bestFit="1" customWidth="1"/>
    <col min="7" max="7" width="10.28515625" bestFit="1" customWidth="1"/>
    <col min="8" max="8" width="12" bestFit="1" customWidth="1"/>
    <col min="9" max="9" width="14.140625" bestFit="1" customWidth="1"/>
    <col min="10" max="10" width="15.28515625" bestFit="1" customWidth="1"/>
    <col min="11" max="11" width="14" bestFit="1" customWidth="1"/>
    <col min="12" max="12" width="13.140625" bestFit="1" customWidth="1"/>
    <col min="13" max="13" width="15.28515625" bestFit="1" customWidth="1"/>
    <col min="14" max="14" width="14" bestFit="1" customWidth="1"/>
    <col min="15" max="15" width="13.140625" bestFit="1" customWidth="1"/>
    <col min="16" max="16" width="15.28515625" bestFit="1" customWidth="1"/>
    <col min="17" max="17" width="14" bestFit="1" customWidth="1"/>
    <col min="18" max="18" width="13.140625" bestFit="1" customWidth="1"/>
    <col min="19" max="19" width="15.28515625" bestFit="1" customWidth="1"/>
    <col min="20" max="20" width="14" bestFit="1" customWidth="1"/>
    <col min="21" max="21" width="13.140625" bestFit="1" customWidth="1"/>
    <col min="22" max="22" width="15.28515625" bestFit="1" customWidth="1"/>
    <col min="23" max="23" width="14" bestFit="1" customWidth="1"/>
    <col min="24" max="24" width="13.140625" bestFit="1" customWidth="1"/>
    <col min="25" max="25" width="15.28515625" bestFit="1" customWidth="1"/>
    <col min="26" max="26" width="14" bestFit="1" customWidth="1"/>
    <col min="27" max="27" width="13.140625" bestFit="1" customWidth="1"/>
    <col min="28" max="28" width="15.28515625" bestFit="1" customWidth="1"/>
    <col min="29" max="29" width="14" bestFit="1" customWidth="1"/>
    <col min="30" max="30" width="13.140625" bestFit="1" customWidth="1"/>
    <col min="31" max="31" width="15.28515625" bestFit="1" customWidth="1"/>
    <col min="32" max="32" width="14" bestFit="1" customWidth="1"/>
    <col min="33" max="33" width="13.140625" bestFit="1" customWidth="1"/>
    <col min="34" max="34" width="15.28515625" bestFit="1" customWidth="1"/>
    <col min="35" max="35" width="14" bestFit="1" customWidth="1"/>
    <col min="36" max="36" width="13.140625" bestFit="1" customWidth="1"/>
    <col min="37" max="37" width="15.28515625" bestFit="1" customWidth="1"/>
    <col min="38" max="38" width="14" bestFit="1" customWidth="1"/>
    <col min="39" max="39" width="13.140625" bestFit="1" customWidth="1"/>
    <col min="40" max="40" width="15.28515625" bestFit="1" customWidth="1"/>
    <col min="41" max="41" width="14" bestFit="1" customWidth="1"/>
    <col min="42" max="42" width="13.140625" bestFit="1" customWidth="1"/>
    <col min="43" max="43" width="15.28515625" bestFit="1" customWidth="1"/>
    <col min="44" max="44" width="14" bestFit="1" customWidth="1"/>
    <col min="45" max="45" width="13.140625" bestFit="1" customWidth="1"/>
    <col min="46" max="46" width="15.28515625" bestFit="1" customWidth="1"/>
    <col min="47" max="47" width="14" bestFit="1" customWidth="1"/>
    <col min="48" max="48" width="13.140625" bestFit="1" customWidth="1"/>
    <col min="49" max="49" width="15.28515625" bestFit="1" customWidth="1"/>
    <col min="50" max="50" width="14" bestFit="1" customWidth="1"/>
    <col min="51" max="51" width="13.140625" bestFit="1" customWidth="1"/>
    <col min="52" max="52" width="15.28515625" bestFit="1" customWidth="1"/>
    <col min="53" max="53" width="14" bestFit="1" customWidth="1"/>
    <col min="54" max="54" width="13.140625" bestFit="1" customWidth="1"/>
    <col min="55" max="55" width="15.28515625" bestFit="1" customWidth="1"/>
    <col min="56" max="56" width="14" bestFit="1" customWidth="1"/>
    <col min="57" max="57" width="13.140625" bestFit="1" customWidth="1"/>
    <col min="58" max="58" width="15.28515625" bestFit="1" customWidth="1"/>
    <col min="59" max="59" width="14" bestFit="1" customWidth="1"/>
    <col min="60" max="60" width="13.140625" bestFit="1" customWidth="1"/>
    <col min="61" max="61" width="15.28515625" bestFit="1" customWidth="1"/>
    <col min="62" max="62" width="14" bestFit="1" customWidth="1"/>
    <col min="63" max="63" width="13.140625" bestFit="1" customWidth="1"/>
    <col min="64" max="64" width="15.28515625" bestFit="1" customWidth="1"/>
    <col min="65" max="65" width="14" bestFit="1" customWidth="1"/>
    <col min="66" max="66" width="13.140625" bestFit="1" customWidth="1"/>
    <col min="67" max="67" width="15.28515625" bestFit="1" customWidth="1"/>
    <col min="68" max="68" width="14" bestFit="1" customWidth="1"/>
    <col min="69" max="69" width="13.140625" bestFit="1" customWidth="1"/>
    <col min="70" max="70" width="15.28515625" bestFit="1" customWidth="1"/>
    <col min="71" max="71" width="14" bestFit="1" customWidth="1"/>
    <col min="72" max="72" width="13.140625" bestFit="1" customWidth="1"/>
    <col min="73" max="73" width="15.28515625" bestFit="1" customWidth="1"/>
    <col min="74" max="74" width="14" bestFit="1" customWidth="1"/>
    <col min="75" max="75" width="13.140625" bestFit="1" customWidth="1"/>
    <col min="76" max="76" width="15.28515625" bestFit="1" customWidth="1"/>
    <col min="77" max="77" width="14" bestFit="1" customWidth="1"/>
    <col min="78" max="78" width="13.140625" bestFit="1" customWidth="1"/>
    <col min="79" max="79" width="15.28515625" bestFit="1" customWidth="1"/>
    <col min="80" max="80" width="14" bestFit="1" customWidth="1"/>
    <col min="81" max="81" width="13.140625" bestFit="1" customWidth="1"/>
    <col min="82" max="82" width="15.28515625" bestFit="1" customWidth="1"/>
    <col min="83" max="83" width="14" bestFit="1" customWidth="1"/>
    <col min="84" max="84" width="13.140625" bestFit="1" customWidth="1"/>
    <col min="85" max="85" width="15.28515625" bestFit="1" customWidth="1"/>
    <col min="86" max="86" width="14" bestFit="1" customWidth="1"/>
    <col min="87" max="87" width="13.140625" bestFit="1" customWidth="1"/>
    <col min="88" max="88" width="15.28515625" bestFit="1" customWidth="1"/>
    <col min="89" max="89" width="14" bestFit="1" customWidth="1"/>
    <col min="90" max="90" width="13.140625" bestFit="1" customWidth="1"/>
    <col min="91" max="91" width="15.28515625" bestFit="1" customWidth="1"/>
    <col min="92" max="92" width="14" bestFit="1" customWidth="1"/>
    <col min="93" max="93" width="13.140625" bestFit="1" customWidth="1"/>
    <col min="94" max="94" width="15.28515625" bestFit="1" customWidth="1"/>
    <col min="95" max="95" width="14" bestFit="1" customWidth="1"/>
    <col min="96" max="96" width="13.140625" bestFit="1" customWidth="1"/>
    <col min="97" max="97" width="15.28515625" bestFit="1" customWidth="1"/>
    <col min="98" max="98" width="14" bestFit="1" customWidth="1"/>
    <col min="99" max="99" width="13.140625" bestFit="1" customWidth="1"/>
    <col min="100" max="100" width="15.28515625" bestFit="1" customWidth="1"/>
    <col min="101" max="101" width="14" bestFit="1" customWidth="1"/>
    <col min="102" max="102" width="13.140625" bestFit="1" customWidth="1"/>
    <col min="103" max="103" width="15.28515625" bestFit="1" customWidth="1"/>
    <col min="104" max="104" width="14" bestFit="1" customWidth="1"/>
    <col min="105" max="105" width="13.140625" bestFit="1" customWidth="1"/>
    <col min="106" max="106" width="15.28515625" bestFit="1" customWidth="1"/>
    <col min="107" max="107" width="14" bestFit="1" customWidth="1"/>
    <col min="108" max="108" width="13.140625" bestFit="1" customWidth="1"/>
    <col min="109" max="109" width="15.28515625" bestFit="1" customWidth="1"/>
    <col min="110" max="110" width="14" bestFit="1" customWidth="1"/>
    <col min="111" max="111" width="13.140625" bestFit="1" customWidth="1"/>
    <col min="112" max="112" width="15.28515625" bestFit="1" customWidth="1"/>
    <col min="113" max="113" width="14" bestFit="1" customWidth="1"/>
    <col min="114" max="114" width="13.140625" bestFit="1" customWidth="1"/>
    <col min="115" max="115" width="15.28515625" bestFit="1" customWidth="1"/>
    <col min="116" max="116" width="14" bestFit="1" customWidth="1"/>
    <col min="117" max="117" width="13.140625" bestFit="1" customWidth="1"/>
    <col min="118" max="118" width="15.28515625" bestFit="1" customWidth="1"/>
    <col min="119" max="119" width="14" bestFit="1" customWidth="1"/>
    <col min="120" max="120" width="13.140625" bestFit="1" customWidth="1"/>
    <col min="121" max="121" width="15.28515625" bestFit="1" customWidth="1"/>
    <col min="122" max="122" width="14" bestFit="1" customWidth="1"/>
    <col min="123" max="123" width="13.140625" bestFit="1" customWidth="1"/>
    <col min="124" max="124" width="15.28515625" bestFit="1" customWidth="1"/>
    <col min="125" max="125" width="14" bestFit="1" customWidth="1"/>
    <col min="126" max="126" width="13.140625" bestFit="1" customWidth="1"/>
    <col min="127" max="127" width="15.28515625" bestFit="1" customWidth="1"/>
    <col min="128" max="128" width="14" bestFit="1" customWidth="1"/>
    <col min="129" max="129" width="13.140625" bestFit="1" customWidth="1"/>
    <col min="130" max="130" width="15.28515625" bestFit="1" customWidth="1"/>
    <col min="131" max="131" width="14" bestFit="1" customWidth="1"/>
    <col min="132" max="132" width="13.140625" bestFit="1" customWidth="1"/>
    <col min="133" max="133" width="15.28515625" bestFit="1" customWidth="1"/>
    <col min="134" max="134" width="14" bestFit="1" customWidth="1"/>
    <col min="135" max="135" width="13.140625" bestFit="1" customWidth="1"/>
    <col min="136" max="136" width="15.28515625" bestFit="1" customWidth="1"/>
    <col min="137" max="137" width="14" bestFit="1" customWidth="1"/>
    <col min="138" max="138" width="13.140625" bestFit="1" customWidth="1"/>
    <col min="139" max="139" width="15.28515625" bestFit="1" customWidth="1"/>
    <col min="140" max="140" width="14" bestFit="1" customWidth="1"/>
    <col min="141" max="141" width="13.140625" bestFit="1" customWidth="1"/>
    <col min="142" max="142" width="15.28515625" bestFit="1" customWidth="1"/>
    <col min="143" max="143" width="14" bestFit="1" customWidth="1"/>
    <col min="144" max="144" width="13.140625" bestFit="1" customWidth="1"/>
    <col min="145" max="145" width="15.28515625" bestFit="1" customWidth="1"/>
    <col min="146" max="146" width="14" bestFit="1" customWidth="1"/>
    <col min="147" max="147" width="13.140625" bestFit="1" customWidth="1"/>
    <col min="148" max="148" width="15.28515625" bestFit="1" customWidth="1"/>
    <col min="149" max="149" width="14" bestFit="1" customWidth="1"/>
    <col min="150" max="150" width="13.140625" bestFit="1" customWidth="1"/>
    <col min="151" max="151" width="15.28515625" bestFit="1" customWidth="1"/>
    <col min="152" max="152" width="14" bestFit="1" customWidth="1"/>
    <col min="153" max="153" width="13.140625" bestFit="1" customWidth="1"/>
    <col min="154" max="154" width="15.28515625" bestFit="1" customWidth="1"/>
    <col min="155" max="155" width="14" bestFit="1" customWidth="1"/>
    <col min="156" max="156" width="13.140625" bestFit="1" customWidth="1"/>
    <col min="157" max="157" width="15.28515625" bestFit="1" customWidth="1"/>
    <col min="158" max="158" width="14" bestFit="1" customWidth="1"/>
    <col min="159" max="159" width="13.140625" bestFit="1" customWidth="1"/>
    <col min="160" max="160" width="15.28515625" bestFit="1" customWidth="1"/>
    <col min="161" max="161" width="14" bestFit="1" customWidth="1"/>
    <col min="162" max="162" width="13.140625" bestFit="1" customWidth="1"/>
    <col min="163" max="163" width="15.28515625" bestFit="1" customWidth="1"/>
    <col min="164" max="164" width="14" bestFit="1" customWidth="1"/>
    <col min="165" max="165" width="13.140625" bestFit="1" customWidth="1"/>
    <col min="166" max="166" width="15.28515625" bestFit="1" customWidth="1"/>
    <col min="167" max="167" width="14" bestFit="1" customWidth="1"/>
    <col min="168" max="168" width="13.140625" bestFit="1" customWidth="1"/>
    <col min="169" max="169" width="15.28515625" bestFit="1" customWidth="1"/>
    <col min="170" max="170" width="14" bestFit="1" customWidth="1"/>
    <col min="171" max="171" width="13.140625" bestFit="1" customWidth="1"/>
    <col min="172" max="172" width="15.28515625" bestFit="1" customWidth="1"/>
    <col min="173" max="173" width="14" bestFit="1" customWidth="1"/>
    <col min="174" max="174" width="13.140625" bestFit="1" customWidth="1"/>
    <col min="175" max="175" width="15.28515625" bestFit="1" customWidth="1"/>
    <col min="176" max="176" width="14" bestFit="1" customWidth="1"/>
    <col min="177" max="177" width="13.140625" bestFit="1" customWidth="1"/>
    <col min="178" max="178" width="15.28515625" bestFit="1" customWidth="1"/>
    <col min="179" max="179" width="14" bestFit="1" customWidth="1"/>
    <col min="180" max="180" width="13.140625" bestFit="1" customWidth="1"/>
    <col min="181" max="181" width="15.28515625" bestFit="1" customWidth="1"/>
    <col min="182" max="182" width="14" bestFit="1" customWidth="1"/>
    <col min="183" max="183" width="13.140625" bestFit="1" customWidth="1"/>
    <col min="184" max="184" width="15.28515625" bestFit="1" customWidth="1"/>
    <col min="185" max="185" width="14" bestFit="1" customWidth="1"/>
    <col min="186" max="186" width="13.140625" bestFit="1" customWidth="1"/>
    <col min="187" max="187" width="15.28515625" bestFit="1" customWidth="1"/>
    <col min="188" max="188" width="14" bestFit="1" customWidth="1"/>
    <col min="189" max="189" width="13.140625" bestFit="1" customWidth="1"/>
    <col min="190" max="190" width="15.28515625" bestFit="1" customWidth="1"/>
    <col min="191" max="191" width="14" bestFit="1" customWidth="1"/>
    <col min="192" max="192" width="13.140625" bestFit="1" customWidth="1"/>
    <col min="193" max="193" width="15.28515625" bestFit="1" customWidth="1"/>
    <col min="194" max="194" width="14" bestFit="1" customWidth="1"/>
    <col min="195" max="195" width="13.140625" bestFit="1" customWidth="1"/>
    <col min="196" max="196" width="15.28515625" bestFit="1" customWidth="1"/>
    <col min="197" max="197" width="14" bestFit="1" customWidth="1"/>
    <col min="198" max="198" width="13.140625" bestFit="1" customWidth="1"/>
    <col min="199" max="199" width="15.28515625" bestFit="1" customWidth="1"/>
    <col min="200" max="200" width="14" bestFit="1" customWidth="1"/>
    <col min="201" max="201" width="13.140625" bestFit="1" customWidth="1"/>
    <col min="202" max="202" width="15.28515625" bestFit="1" customWidth="1"/>
    <col min="203" max="203" width="14" bestFit="1" customWidth="1"/>
    <col min="204" max="204" width="13.140625" bestFit="1" customWidth="1"/>
    <col min="205" max="205" width="15.28515625" bestFit="1" customWidth="1"/>
    <col min="206" max="206" width="14" bestFit="1" customWidth="1"/>
    <col min="207" max="207" width="13.140625" bestFit="1" customWidth="1"/>
    <col min="208" max="208" width="15.28515625" bestFit="1" customWidth="1"/>
    <col min="209" max="209" width="14" bestFit="1" customWidth="1"/>
    <col min="210" max="210" width="13.140625" bestFit="1" customWidth="1"/>
    <col min="211" max="211" width="15.28515625" bestFit="1" customWidth="1"/>
    <col min="212" max="212" width="14" bestFit="1" customWidth="1"/>
    <col min="213" max="213" width="13.140625" bestFit="1" customWidth="1"/>
    <col min="214" max="214" width="15.28515625" bestFit="1" customWidth="1"/>
    <col min="215" max="215" width="14" bestFit="1" customWidth="1"/>
    <col min="216" max="216" width="13.140625" bestFit="1" customWidth="1"/>
    <col min="217" max="217" width="15.28515625" bestFit="1" customWidth="1"/>
    <col min="218" max="218" width="14" bestFit="1" customWidth="1"/>
    <col min="219" max="219" width="13.140625" bestFit="1" customWidth="1"/>
    <col min="220" max="220" width="15.28515625" bestFit="1" customWidth="1"/>
    <col min="221" max="221" width="14" bestFit="1" customWidth="1"/>
    <col min="222" max="222" width="13.140625" bestFit="1" customWidth="1"/>
    <col min="223" max="223" width="15.28515625" bestFit="1" customWidth="1"/>
    <col min="224" max="224" width="14" bestFit="1" customWidth="1"/>
    <col min="225" max="225" width="13.140625" bestFit="1" customWidth="1"/>
    <col min="226" max="226" width="15.28515625" bestFit="1" customWidth="1"/>
    <col min="227" max="227" width="14" bestFit="1" customWidth="1"/>
    <col min="228" max="228" width="13.140625" bestFit="1" customWidth="1"/>
    <col min="229" max="229" width="15.28515625" bestFit="1" customWidth="1"/>
    <col min="230" max="230" width="14" bestFit="1" customWidth="1"/>
    <col min="231" max="231" width="13.140625" bestFit="1" customWidth="1"/>
    <col min="232" max="232" width="15.28515625" bestFit="1" customWidth="1"/>
    <col min="233" max="233" width="14" bestFit="1" customWidth="1"/>
    <col min="234" max="234" width="13.140625" bestFit="1" customWidth="1"/>
    <col min="235" max="235" width="15.28515625" bestFit="1" customWidth="1"/>
    <col min="236" max="236" width="14" bestFit="1" customWidth="1"/>
    <col min="237" max="237" width="13.140625" bestFit="1" customWidth="1"/>
    <col min="238" max="238" width="15.28515625" bestFit="1" customWidth="1"/>
    <col min="239" max="239" width="14" bestFit="1" customWidth="1"/>
    <col min="240" max="240" width="13.140625" bestFit="1" customWidth="1"/>
    <col min="241" max="241" width="15.28515625" bestFit="1" customWidth="1"/>
    <col min="242" max="242" width="14" bestFit="1" customWidth="1"/>
    <col min="243" max="243" width="13.140625" bestFit="1" customWidth="1"/>
    <col min="244" max="244" width="15.28515625" bestFit="1" customWidth="1"/>
    <col min="245" max="245" width="14" bestFit="1" customWidth="1"/>
    <col min="246" max="246" width="13.140625" bestFit="1" customWidth="1"/>
    <col min="247" max="247" width="15.28515625" bestFit="1" customWidth="1"/>
    <col min="248" max="248" width="14" bestFit="1" customWidth="1"/>
    <col min="249" max="249" width="13.140625" bestFit="1" customWidth="1"/>
    <col min="250" max="250" width="15.28515625" bestFit="1" customWidth="1"/>
    <col min="251" max="251" width="14" bestFit="1" customWidth="1"/>
    <col min="252" max="252" width="13.140625" bestFit="1" customWidth="1"/>
    <col min="253" max="253" width="15.28515625" bestFit="1" customWidth="1"/>
    <col min="254" max="254" width="14" bestFit="1" customWidth="1"/>
    <col min="255" max="255" width="13.140625" bestFit="1" customWidth="1"/>
    <col min="256" max="256" width="15.28515625" bestFit="1" customWidth="1"/>
    <col min="257" max="257" width="14" bestFit="1" customWidth="1"/>
    <col min="258" max="258" width="13.140625" bestFit="1" customWidth="1"/>
    <col min="259" max="259" width="15.28515625" bestFit="1" customWidth="1"/>
    <col min="260" max="260" width="14" bestFit="1" customWidth="1"/>
    <col min="261" max="261" width="13.140625" bestFit="1" customWidth="1"/>
    <col min="262" max="262" width="15.28515625" bestFit="1" customWidth="1"/>
    <col min="263" max="263" width="14" bestFit="1" customWidth="1"/>
    <col min="264" max="264" width="13.140625" bestFit="1" customWidth="1"/>
    <col min="265" max="265" width="15.28515625" bestFit="1" customWidth="1"/>
    <col min="266" max="266" width="14" bestFit="1" customWidth="1"/>
    <col min="267" max="267" width="13.140625" bestFit="1" customWidth="1"/>
    <col min="268" max="268" width="15.28515625" bestFit="1" customWidth="1"/>
    <col min="269" max="269" width="14" bestFit="1" customWidth="1"/>
    <col min="270" max="270" width="13.140625" bestFit="1" customWidth="1"/>
    <col min="271" max="271" width="15.28515625" bestFit="1" customWidth="1"/>
    <col min="272" max="272" width="14" bestFit="1" customWidth="1"/>
    <col min="273" max="273" width="13.140625" bestFit="1" customWidth="1"/>
    <col min="274" max="274" width="15.28515625" bestFit="1" customWidth="1"/>
    <col min="275" max="275" width="14" bestFit="1" customWidth="1"/>
    <col min="276" max="276" width="13.140625" bestFit="1" customWidth="1"/>
    <col min="277" max="277" width="15.28515625" bestFit="1" customWidth="1"/>
    <col min="278" max="278" width="19" bestFit="1" customWidth="1"/>
    <col min="279" max="279" width="18.140625" bestFit="1" customWidth="1"/>
    <col min="280" max="280" width="20.28515625" bestFit="1" customWidth="1"/>
    <col min="281" max="281" width="18.85546875" bestFit="1" customWidth="1"/>
    <col min="282" max="282" width="14" bestFit="1" customWidth="1"/>
    <col min="283" max="283" width="13.140625" bestFit="1" customWidth="1"/>
    <col min="284" max="284" width="19.5703125" bestFit="1" customWidth="1"/>
    <col min="285" max="285" width="18.85546875" bestFit="1" customWidth="1"/>
    <col min="286" max="286" width="14" bestFit="1" customWidth="1"/>
    <col min="287" max="287" width="13.140625" bestFit="1" customWidth="1"/>
    <col min="288" max="288" width="19.5703125" bestFit="1" customWidth="1"/>
    <col min="289" max="289" width="18.85546875" bestFit="1" customWidth="1"/>
    <col min="290" max="290" width="14" bestFit="1" customWidth="1"/>
    <col min="291" max="291" width="13.140625" bestFit="1" customWidth="1"/>
    <col min="292" max="292" width="19.5703125" bestFit="1" customWidth="1"/>
    <col min="293" max="293" width="18.85546875" bestFit="1" customWidth="1"/>
    <col min="294" max="294" width="14" bestFit="1" customWidth="1"/>
    <col min="295" max="295" width="13.140625" bestFit="1" customWidth="1"/>
    <col min="296" max="296" width="19.5703125" bestFit="1" customWidth="1"/>
    <col min="297" max="297" width="18.85546875" bestFit="1" customWidth="1"/>
    <col min="298" max="298" width="14" bestFit="1" customWidth="1"/>
    <col min="299" max="299" width="13.140625" bestFit="1" customWidth="1"/>
    <col min="300" max="300" width="19.5703125" bestFit="1" customWidth="1"/>
    <col min="301" max="301" width="18.85546875" bestFit="1" customWidth="1"/>
    <col min="302" max="302" width="14" bestFit="1" customWidth="1"/>
    <col min="303" max="303" width="13.140625" bestFit="1" customWidth="1"/>
    <col min="304" max="304" width="19.5703125" bestFit="1" customWidth="1"/>
    <col min="305" max="305" width="18.85546875" bestFit="1" customWidth="1"/>
    <col min="306" max="306" width="14" bestFit="1" customWidth="1"/>
    <col min="307" max="307" width="13.140625" bestFit="1" customWidth="1"/>
    <col min="308" max="308" width="19.5703125" bestFit="1" customWidth="1"/>
    <col min="309" max="309" width="18.85546875" bestFit="1" customWidth="1"/>
    <col min="310" max="310" width="14" bestFit="1" customWidth="1"/>
    <col min="311" max="311" width="13.140625" bestFit="1" customWidth="1"/>
    <col min="312" max="312" width="19.5703125" bestFit="1" customWidth="1"/>
    <col min="313" max="313" width="18.85546875" bestFit="1" customWidth="1"/>
    <col min="314" max="314" width="14" bestFit="1" customWidth="1"/>
    <col min="315" max="315" width="13.140625" bestFit="1" customWidth="1"/>
    <col min="316" max="316" width="19.5703125" bestFit="1" customWidth="1"/>
    <col min="317" max="317" width="18.85546875" bestFit="1" customWidth="1"/>
    <col min="318" max="318" width="14" bestFit="1" customWidth="1"/>
    <col min="319" max="319" width="13.140625" bestFit="1" customWidth="1"/>
    <col min="320" max="320" width="19.5703125" bestFit="1" customWidth="1"/>
    <col min="321" max="321" width="18.85546875" bestFit="1" customWidth="1"/>
    <col min="322" max="322" width="14" bestFit="1" customWidth="1"/>
    <col min="323" max="323" width="13.140625" bestFit="1" customWidth="1"/>
    <col min="324" max="324" width="19.5703125" bestFit="1" customWidth="1"/>
    <col min="325" max="325" width="18.85546875" bestFit="1" customWidth="1"/>
    <col min="326" max="326" width="14" bestFit="1" customWidth="1"/>
    <col min="327" max="327" width="13.140625" bestFit="1" customWidth="1"/>
    <col min="328" max="328" width="19.5703125" bestFit="1" customWidth="1"/>
    <col min="329" max="329" width="18.85546875" bestFit="1" customWidth="1"/>
    <col min="330" max="330" width="14" bestFit="1" customWidth="1"/>
    <col min="331" max="331" width="13.140625" bestFit="1" customWidth="1"/>
    <col min="332" max="332" width="19.5703125" bestFit="1" customWidth="1"/>
    <col min="333" max="333" width="18.85546875" bestFit="1" customWidth="1"/>
    <col min="334" max="334" width="14" bestFit="1" customWidth="1"/>
    <col min="335" max="335" width="13.140625" bestFit="1" customWidth="1"/>
    <col min="336" max="336" width="19.5703125" bestFit="1" customWidth="1"/>
    <col min="337" max="337" width="18.85546875" bestFit="1" customWidth="1"/>
    <col min="338" max="338" width="14" bestFit="1" customWidth="1"/>
    <col min="339" max="339" width="13.140625" bestFit="1" customWidth="1"/>
    <col min="340" max="340" width="19.5703125" bestFit="1" customWidth="1"/>
    <col min="341" max="341" width="18.85546875" bestFit="1" customWidth="1"/>
    <col min="342" max="342" width="14" bestFit="1" customWidth="1"/>
    <col min="343" max="343" width="13.140625" bestFit="1" customWidth="1"/>
    <col min="344" max="344" width="19.5703125" bestFit="1" customWidth="1"/>
    <col min="345" max="345" width="18.85546875" bestFit="1" customWidth="1"/>
    <col min="346" max="346" width="14" bestFit="1" customWidth="1"/>
    <col min="347" max="347" width="13.140625" bestFit="1" customWidth="1"/>
    <col min="348" max="348" width="19.5703125" bestFit="1" customWidth="1"/>
    <col min="349" max="349" width="18.85546875" bestFit="1" customWidth="1"/>
    <col min="350" max="350" width="14" bestFit="1" customWidth="1"/>
    <col min="351" max="351" width="13.140625" bestFit="1" customWidth="1"/>
    <col min="352" max="352" width="19.5703125" bestFit="1" customWidth="1"/>
    <col min="353" max="353" width="18.85546875" bestFit="1" customWidth="1"/>
    <col min="354" max="354" width="14" bestFit="1" customWidth="1"/>
    <col min="355" max="355" width="13.140625" bestFit="1" customWidth="1"/>
    <col min="356" max="356" width="19.5703125" bestFit="1" customWidth="1"/>
    <col min="357" max="357" width="18.85546875" bestFit="1" customWidth="1"/>
    <col min="358" max="358" width="14" bestFit="1" customWidth="1"/>
    <col min="359" max="359" width="13.140625" bestFit="1" customWidth="1"/>
    <col min="360" max="360" width="19.5703125" bestFit="1" customWidth="1"/>
    <col min="361" max="361" width="18.85546875" bestFit="1" customWidth="1"/>
    <col min="362" max="362" width="14" bestFit="1" customWidth="1"/>
    <col min="363" max="363" width="13.140625" bestFit="1" customWidth="1"/>
    <col min="364" max="364" width="19.5703125" bestFit="1" customWidth="1"/>
    <col min="365" max="365" width="18.85546875" bestFit="1" customWidth="1"/>
    <col min="366" max="366" width="14" bestFit="1" customWidth="1"/>
    <col min="367" max="367" width="13.140625" bestFit="1" customWidth="1"/>
    <col min="368" max="368" width="19.5703125" bestFit="1" customWidth="1"/>
    <col min="369" max="369" width="18.85546875" bestFit="1" customWidth="1"/>
    <col min="370" max="370" width="19" bestFit="1" customWidth="1"/>
    <col min="371" max="371" width="18.140625" bestFit="1" customWidth="1"/>
  </cols>
  <sheetData>
    <row r="3" spans="1:4" x14ac:dyDescent="0.25">
      <c r="A3" t="s">
        <v>8</v>
      </c>
    </row>
    <row r="4" spans="1:4" x14ac:dyDescent="0.25">
      <c r="A4" s="9">
        <v>621150</v>
      </c>
    </row>
    <row r="9" spans="1:4" x14ac:dyDescent="0.25">
      <c r="A9" s="2" t="s">
        <v>9</v>
      </c>
      <c r="B9" t="s">
        <v>16</v>
      </c>
      <c r="C9" t="s">
        <v>14</v>
      </c>
      <c r="D9" t="s">
        <v>15</v>
      </c>
    </row>
    <row r="10" spans="1:4" x14ac:dyDescent="0.25">
      <c r="A10" s="3" t="s">
        <v>41</v>
      </c>
      <c r="B10" s="9">
        <v>20958</v>
      </c>
      <c r="C10" s="9">
        <v>8240</v>
      </c>
      <c r="D10" s="9">
        <v>12718</v>
      </c>
    </row>
    <row r="11" spans="1:4" x14ac:dyDescent="0.25">
      <c r="A11" s="3" t="s">
        <v>42</v>
      </c>
      <c r="B11" s="9">
        <v>20617</v>
      </c>
      <c r="C11" s="9">
        <v>8770</v>
      </c>
      <c r="D11" s="9">
        <v>11847</v>
      </c>
    </row>
    <row r="12" spans="1:4" x14ac:dyDescent="0.25">
      <c r="A12" s="3" t="s">
        <v>43</v>
      </c>
      <c r="B12" s="9">
        <v>19491</v>
      </c>
      <c r="C12" s="9">
        <v>9490</v>
      </c>
      <c r="D12" s="9">
        <v>10001</v>
      </c>
    </row>
    <row r="13" spans="1:4" x14ac:dyDescent="0.25">
      <c r="A13" s="3" t="s">
        <v>44</v>
      </c>
      <c r="B13" s="9">
        <v>23347</v>
      </c>
      <c r="C13" s="9">
        <v>14518</v>
      </c>
      <c r="D13" s="9">
        <v>8829</v>
      </c>
    </row>
    <row r="14" spans="1:4" x14ac:dyDescent="0.25">
      <c r="A14" s="3" t="s">
        <v>45</v>
      </c>
      <c r="B14" s="9">
        <v>28158</v>
      </c>
      <c r="C14" s="9">
        <v>18801</v>
      </c>
      <c r="D14" s="9">
        <v>9357</v>
      </c>
    </row>
    <row r="15" spans="1:4" x14ac:dyDescent="0.25">
      <c r="A15" s="3" t="s">
        <v>46</v>
      </c>
      <c r="B15" s="9">
        <v>24786</v>
      </c>
      <c r="C15" s="9">
        <v>15415</v>
      </c>
      <c r="D15" s="9">
        <v>9371</v>
      </c>
    </row>
    <row r="16" spans="1:4" x14ac:dyDescent="0.25">
      <c r="A16" s="3" t="s">
        <v>47</v>
      </c>
      <c r="B16" s="9">
        <v>15904</v>
      </c>
      <c r="C16" s="9">
        <v>6039</v>
      </c>
      <c r="D16" s="9">
        <v>9865</v>
      </c>
    </row>
    <row r="17" spans="1:9" x14ac:dyDescent="0.25">
      <c r="A17" s="3" t="s">
        <v>48</v>
      </c>
      <c r="B17" s="9">
        <v>20167</v>
      </c>
      <c r="C17" s="9">
        <v>7721</v>
      </c>
      <c r="D17" s="9">
        <v>12446</v>
      </c>
    </row>
    <row r="18" spans="1:9" x14ac:dyDescent="0.25">
      <c r="A18" s="3" t="s">
        <v>49</v>
      </c>
      <c r="B18" s="9">
        <v>20770</v>
      </c>
      <c r="C18" s="9">
        <v>8285</v>
      </c>
      <c r="D18" s="9">
        <v>12485</v>
      </c>
    </row>
    <row r="19" spans="1:9" x14ac:dyDescent="0.25">
      <c r="A19" s="3" t="s">
        <v>50</v>
      </c>
      <c r="B19" s="9">
        <v>22116</v>
      </c>
      <c r="C19" s="9">
        <v>10255</v>
      </c>
      <c r="D19" s="9">
        <v>11861</v>
      </c>
    </row>
    <row r="20" spans="1:9" x14ac:dyDescent="0.25">
      <c r="A20" s="3" t="s">
        <v>51</v>
      </c>
      <c r="B20" s="9">
        <v>28074</v>
      </c>
      <c r="C20" s="9">
        <v>16784</v>
      </c>
      <c r="D20" s="9">
        <v>11290</v>
      </c>
    </row>
    <row r="21" spans="1:9" x14ac:dyDescent="0.25">
      <c r="A21" s="3" t="s">
        <v>52</v>
      </c>
      <c r="B21" s="9">
        <v>22788</v>
      </c>
      <c r="C21" s="9">
        <v>12757</v>
      </c>
      <c r="D21" s="9">
        <v>10031</v>
      </c>
    </row>
    <row r="22" spans="1:9" x14ac:dyDescent="0.25">
      <c r="A22" s="3" t="s">
        <v>53</v>
      </c>
      <c r="B22" s="9">
        <v>17766</v>
      </c>
      <c r="C22" s="9">
        <v>6908</v>
      </c>
      <c r="D22" s="9">
        <v>10858</v>
      </c>
    </row>
    <row r="23" spans="1:9" x14ac:dyDescent="0.25">
      <c r="A23" s="3" t="s">
        <v>54</v>
      </c>
      <c r="B23" s="9">
        <v>19359</v>
      </c>
      <c r="C23" s="9">
        <v>7118</v>
      </c>
      <c r="D23" s="9">
        <v>12241</v>
      </c>
    </row>
    <row r="24" spans="1:9" x14ac:dyDescent="0.25">
      <c r="A24" s="3" t="s">
        <v>55</v>
      </c>
      <c r="B24" s="9">
        <v>20848</v>
      </c>
      <c r="C24" s="9">
        <v>8211</v>
      </c>
      <c r="D24" s="9">
        <v>12637</v>
      </c>
      <c r="F24" s="2" t="s">
        <v>17</v>
      </c>
      <c r="G24" t="s">
        <v>16</v>
      </c>
      <c r="H24" t="s">
        <v>14</v>
      </c>
      <c r="I24" t="s">
        <v>15</v>
      </c>
    </row>
    <row r="25" spans="1:9" x14ac:dyDescent="0.25">
      <c r="A25" s="3" t="s">
        <v>56</v>
      </c>
      <c r="B25" s="9">
        <v>22395</v>
      </c>
      <c r="C25" s="9">
        <v>9788</v>
      </c>
      <c r="D25" s="9">
        <v>12607</v>
      </c>
      <c r="F25" s="3" t="s">
        <v>11</v>
      </c>
      <c r="G25" s="4">
        <v>692321</v>
      </c>
      <c r="H25" s="4">
        <v>369415</v>
      </c>
      <c r="I25" s="4">
        <v>322906</v>
      </c>
    </row>
    <row r="26" spans="1:9" x14ac:dyDescent="0.25">
      <c r="A26" s="3" t="s">
        <v>57</v>
      </c>
      <c r="B26" s="9">
        <v>21727</v>
      </c>
      <c r="C26" s="9">
        <v>10709</v>
      </c>
      <c r="D26" s="9">
        <v>11018</v>
      </c>
      <c r="F26" s="3" t="s">
        <v>12</v>
      </c>
      <c r="G26" s="4">
        <v>674409</v>
      </c>
      <c r="H26" s="4">
        <v>341476</v>
      </c>
      <c r="I26" s="4">
        <v>332933</v>
      </c>
    </row>
    <row r="27" spans="1:9" x14ac:dyDescent="0.25">
      <c r="A27" s="3" t="s">
        <v>58</v>
      </c>
      <c r="B27" s="9">
        <v>27347</v>
      </c>
      <c r="C27" s="9">
        <v>16438</v>
      </c>
      <c r="D27" s="9">
        <v>10909</v>
      </c>
      <c r="F27" s="3" t="s">
        <v>13</v>
      </c>
      <c r="G27" s="4">
        <v>621150</v>
      </c>
      <c r="H27" s="4">
        <v>292931</v>
      </c>
      <c r="I27" s="4">
        <v>328219</v>
      </c>
    </row>
    <row r="28" spans="1:9" x14ac:dyDescent="0.25">
      <c r="A28" s="3" t="s">
        <v>59</v>
      </c>
      <c r="B28" s="9">
        <v>23476</v>
      </c>
      <c r="C28" s="9">
        <v>13762</v>
      </c>
      <c r="D28" s="9">
        <v>9714</v>
      </c>
      <c r="F28" s="3" t="s">
        <v>10</v>
      </c>
      <c r="G28" s="4">
        <v>1987880</v>
      </c>
      <c r="H28" s="4">
        <v>1003822</v>
      </c>
      <c r="I28" s="4">
        <v>984058</v>
      </c>
    </row>
    <row r="29" spans="1:9" x14ac:dyDescent="0.25">
      <c r="A29" s="3" t="s">
        <v>60</v>
      </c>
      <c r="B29" s="9">
        <v>15968</v>
      </c>
      <c r="C29" s="9">
        <v>6068</v>
      </c>
      <c r="D29" s="9">
        <v>9900</v>
      </c>
    </row>
    <row r="30" spans="1:9" x14ac:dyDescent="0.25">
      <c r="A30" s="3" t="s">
        <v>61</v>
      </c>
      <c r="B30" s="9">
        <v>14458</v>
      </c>
      <c r="C30" s="9">
        <v>4851</v>
      </c>
      <c r="D30" s="9">
        <v>9607</v>
      </c>
    </row>
    <row r="31" spans="1:9" x14ac:dyDescent="0.25">
      <c r="A31" s="3" t="s">
        <v>62</v>
      </c>
      <c r="B31" s="9">
        <v>13638</v>
      </c>
      <c r="C31" s="9">
        <v>4324</v>
      </c>
      <c r="D31" s="9">
        <v>9314</v>
      </c>
    </row>
    <row r="32" spans="1:9" x14ac:dyDescent="0.25">
      <c r="A32" s="3" t="s">
        <v>63</v>
      </c>
      <c r="B32" s="9">
        <v>16652</v>
      </c>
      <c r="C32" s="9">
        <v>5773</v>
      </c>
      <c r="D32" s="9">
        <v>10879</v>
      </c>
    </row>
    <row r="33" spans="1:4" x14ac:dyDescent="0.25">
      <c r="A33" s="3" t="s">
        <v>64</v>
      </c>
      <c r="B33" s="9">
        <v>19825</v>
      </c>
      <c r="C33" s="9">
        <v>8927</v>
      </c>
      <c r="D33" s="9">
        <v>10898</v>
      </c>
    </row>
    <row r="34" spans="1:4" x14ac:dyDescent="0.25">
      <c r="A34" s="3" t="s">
        <v>65</v>
      </c>
      <c r="B34" s="9">
        <v>24884</v>
      </c>
      <c r="C34" s="9">
        <v>14516</v>
      </c>
      <c r="D34" s="9">
        <v>10368</v>
      </c>
    </row>
    <row r="35" spans="1:4" x14ac:dyDescent="0.25">
      <c r="A35" s="3" t="s">
        <v>66</v>
      </c>
      <c r="B35" s="9">
        <v>21716</v>
      </c>
      <c r="C35" s="9">
        <v>12130</v>
      </c>
      <c r="D35" s="9">
        <v>9586</v>
      </c>
    </row>
    <row r="36" spans="1:4" x14ac:dyDescent="0.25">
      <c r="A36" s="3" t="s">
        <v>67</v>
      </c>
      <c r="B36" s="9">
        <v>17256</v>
      </c>
      <c r="C36" s="9">
        <v>6365</v>
      </c>
      <c r="D36" s="9">
        <v>10891</v>
      </c>
    </row>
    <row r="37" spans="1:4" x14ac:dyDescent="0.25">
      <c r="A37" s="3" t="s">
        <v>68</v>
      </c>
      <c r="B37" s="9">
        <v>18275</v>
      </c>
      <c r="C37" s="9">
        <v>6315</v>
      </c>
      <c r="D37" s="9">
        <v>11960</v>
      </c>
    </row>
    <row r="38" spans="1:4" x14ac:dyDescent="0.25">
      <c r="A38" s="3" t="s">
        <v>69</v>
      </c>
      <c r="B38" s="9">
        <v>19156</v>
      </c>
      <c r="C38" s="9">
        <v>6711</v>
      </c>
      <c r="D38" s="9">
        <v>12445</v>
      </c>
    </row>
    <row r="39" spans="1:4" x14ac:dyDescent="0.25">
      <c r="A39" s="3" t="s">
        <v>70</v>
      </c>
      <c r="B39" s="9">
        <v>19228</v>
      </c>
      <c r="C39" s="9">
        <v>6942</v>
      </c>
      <c r="D39" s="9">
        <v>12286</v>
      </c>
    </row>
    <row r="40" spans="1:4" x14ac:dyDescent="0.25">
      <c r="A40" s="3" t="s">
        <v>10</v>
      </c>
      <c r="B40" s="9">
        <v>621150</v>
      </c>
      <c r="C40" s="9">
        <v>292931</v>
      </c>
      <c r="D40" s="9">
        <v>328219</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98AE-A1E0-4A0F-9599-5392EB2ADF5C}">
  <dimension ref="A1:J10"/>
  <sheetViews>
    <sheetView workbookViewId="0">
      <selection activeCell="J3" sqref="J3"/>
    </sheetView>
  </sheetViews>
  <sheetFormatPr defaultRowHeight="15" x14ac:dyDescent="0.25"/>
  <cols>
    <col min="1" max="1" width="11.140625" bestFit="1" customWidth="1"/>
    <col min="2" max="2" width="12.140625" bestFit="1" customWidth="1"/>
    <col min="3" max="3" width="9.5703125" bestFit="1" customWidth="1"/>
    <col min="4" max="4" width="8.7109375" bestFit="1" customWidth="1"/>
    <col min="5" max="5" width="10.85546875" bestFit="1" customWidth="1"/>
    <col min="7" max="7" width="13.140625" bestFit="1" customWidth="1"/>
    <col min="8" max="8" width="10.28515625" bestFit="1" customWidth="1"/>
    <col min="9" max="9" width="12" bestFit="1" customWidth="1"/>
    <col min="10" max="10" width="14.140625" bestFit="1" customWidth="1"/>
  </cols>
  <sheetData>
    <row r="1" spans="1:10" x14ac:dyDescent="0.25">
      <c r="A1" t="s">
        <v>0</v>
      </c>
      <c r="B1" t="s">
        <v>32</v>
      </c>
      <c r="C1" t="s">
        <v>2</v>
      </c>
      <c r="D1" t="s">
        <v>3</v>
      </c>
      <c r="E1" t="s">
        <v>4</v>
      </c>
    </row>
    <row r="2" spans="1:10" x14ac:dyDescent="0.25">
      <c r="A2">
        <v>0</v>
      </c>
      <c r="B2" t="s">
        <v>33</v>
      </c>
      <c r="C2">
        <v>289273</v>
      </c>
      <c r="D2">
        <v>146821</v>
      </c>
      <c r="E2">
        <v>142452</v>
      </c>
      <c r="G2" s="2" t="s">
        <v>9</v>
      </c>
      <c r="H2" t="s">
        <v>16</v>
      </c>
      <c r="I2" t="s">
        <v>14</v>
      </c>
      <c r="J2" t="s">
        <v>15</v>
      </c>
    </row>
    <row r="3" spans="1:10" x14ac:dyDescent="0.25">
      <c r="A3">
        <v>1</v>
      </c>
      <c r="B3" t="s">
        <v>34</v>
      </c>
      <c r="C3">
        <v>246925</v>
      </c>
      <c r="D3">
        <v>114989</v>
      </c>
      <c r="E3">
        <v>131936</v>
      </c>
      <c r="G3" s="3" t="s">
        <v>35</v>
      </c>
      <c r="H3">
        <v>358261</v>
      </c>
      <c r="I3">
        <v>223075</v>
      </c>
      <c r="J3">
        <v>135186</v>
      </c>
    </row>
    <row r="4" spans="1:10" x14ac:dyDescent="0.25">
      <c r="A4">
        <v>2</v>
      </c>
      <c r="B4" t="s">
        <v>35</v>
      </c>
      <c r="C4">
        <v>358261</v>
      </c>
      <c r="D4">
        <v>223075</v>
      </c>
      <c r="E4">
        <v>135186</v>
      </c>
      <c r="G4" s="3" t="s">
        <v>36</v>
      </c>
      <c r="H4">
        <v>310263</v>
      </c>
      <c r="I4">
        <v>190394</v>
      </c>
      <c r="J4">
        <v>119869</v>
      </c>
    </row>
    <row r="5" spans="1:10" x14ac:dyDescent="0.25">
      <c r="A5">
        <v>3</v>
      </c>
      <c r="B5" t="s">
        <v>36</v>
      </c>
      <c r="C5">
        <v>310263</v>
      </c>
      <c r="D5">
        <v>190394</v>
      </c>
      <c r="E5">
        <v>119869</v>
      </c>
      <c r="G5" s="3" t="s">
        <v>33</v>
      </c>
      <c r="H5">
        <v>289273</v>
      </c>
      <c r="I5">
        <v>146821</v>
      </c>
      <c r="J5">
        <v>142452</v>
      </c>
    </row>
    <row r="6" spans="1:10" x14ac:dyDescent="0.25">
      <c r="A6">
        <v>4</v>
      </c>
      <c r="B6" t="s">
        <v>37</v>
      </c>
      <c r="C6">
        <v>286273</v>
      </c>
      <c r="D6">
        <v>124385</v>
      </c>
      <c r="E6">
        <v>161888</v>
      </c>
      <c r="G6" s="3" t="s">
        <v>37</v>
      </c>
      <c r="H6">
        <v>286273</v>
      </c>
      <c r="I6">
        <v>124385</v>
      </c>
      <c r="J6">
        <v>161888</v>
      </c>
    </row>
    <row r="7" spans="1:10" x14ac:dyDescent="0.25">
      <c r="A7">
        <v>5</v>
      </c>
      <c r="B7" t="s">
        <v>38</v>
      </c>
      <c r="C7">
        <v>241390</v>
      </c>
      <c r="D7">
        <v>98689</v>
      </c>
      <c r="E7">
        <v>142701</v>
      </c>
      <c r="G7" s="3" t="s">
        <v>39</v>
      </c>
      <c r="H7">
        <v>255495</v>
      </c>
      <c r="I7">
        <v>105469</v>
      </c>
      <c r="J7">
        <v>150026</v>
      </c>
    </row>
    <row r="8" spans="1:10" x14ac:dyDescent="0.25">
      <c r="A8">
        <v>6</v>
      </c>
      <c r="B8" t="s">
        <v>39</v>
      </c>
      <c r="C8">
        <v>255495</v>
      </c>
      <c r="D8">
        <v>105469</v>
      </c>
      <c r="E8">
        <v>150026</v>
      </c>
      <c r="G8" s="3" t="s">
        <v>34</v>
      </c>
      <c r="H8">
        <v>246925</v>
      </c>
      <c r="I8">
        <v>114989</v>
      </c>
      <c r="J8">
        <v>131936</v>
      </c>
    </row>
    <row r="9" spans="1:10" x14ac:dyDescent="0.25">
      <c r="G9" s="3" t="s">
        <v>38</v>
      </c>
      <c r="H9">
        <v>241390</v>
      </c>
      <c r="I9">
        <v>98689</v>
      </c>
      <c r="J9">
        <v>142701</v>
      </c>
    </row>
    <row r="10" spans="1:10" x14ac:dyDescent="0.25">
      <c r="G10" s="3" t="s">
        <v>10</v>
      </c>
      <c r="H10">
        <v>1987880</v>
      </c>
      <c r="I10">
        <v>1003822</v>
      </c>
      <c r="J10">
        <v>984058</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5DBA-A25A-45E6-B2D6-645DDF598ADF}">
  <dimension ref="A7:G17"/>
  <sheetViews>
    <sheetView showGridLines="0" tabSelected="1" zoomScale="83" zoomScaleNormal="60" workbookViewId="0">
      <selection activeCell="A7" sqref="A7"/>
    </sheetView>
  </sheetViews>
  <sheetFormatPr defaultRowHeight="15" x14ac:dyDescent="0.25"/>
  <cols>
    <col min="1" max="1" width="46.85546875" customWidth="1"/>
  </cols>
  <sheetData>
    <row r="7" spans="5:7" ht="61.5" x14ac:dyDescent="0.9">
      <c r="E7" s="7" t="s">
        <v>40</v>
      </c>
      <c r="F7" s="7"/>
      <c r="G7" s="7"/>
    </row>
    <row r="17" spans="1:1" x14ac:dyDescent="0.25">
      <c r="A1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AE8EAD-95A5-4ED8-8ACF-83AB6A0994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daily_ave_ride_duration_by_bike</vt:lpstr>
      <vt:lpstr>daily_ave_ride_duration_by_user</vt:lpstr>
      <vt:lpstr>monthly_rides_bt</vt:lpstr>
      <vt:lpstr>daily_data</vt:lpstr>
      <vt:lpstr>DailyPV</vt:lpstr>
      <vt:lpstr>weekly_data (2)</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myat myatnwe</dc:creator>
  <cp:lastModifiedBy>myat myatnwe</cp:lastModifiedBy>
  <dcterms:created xsi:type="dcterms:W3CDTF">2025-10-10T16:38:25Z</dcterms:created>
  <dcterms:modified xsi:type="dcterms:W3CDTF">2025-10-15T18:11:32Z</dcterms:modified>
</cp:coreProperties>
</file>